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rongroup\"/>
    </mc:Choice>
  </mc:AlternateContent>
  <xr:revisionPtr revIDLastSave="0" documentId="13_ncr:1_{629A41E9-BA1D-4138-AA02-4BFFCFBD2FE1}" xr6:coauthVersionLast="47" xr6:coauthVersionMax="47" xr10:uidLastSave="{00000000-0000-0000-0000-000000000000}"/>
  <bookViews>
    <workbookView xWindow="5880" yWindow="2220" windowWidth="21336" windowHeight="12216" activeTab="3" xr2:uid="{00000000-000D-0000-FFFF-FFFF00000000}"/>
  </bookViews>
  <sheets>
    <sheet name="各盟选秀顺位" sheetId="17" r:id="rId1"/>
    <sheet name="组队赛花名册" sheetId="14" r:id="rId2"/>
    <sheet name="组队赛各盟链接" sheetId="15" r:id="rId3"/>
    <sheet name="组队赛计分" sheetId="12" r:id="rId4"/>
    <sheet name="各盟选秀结果链接" sheetId="22" r:id="rId5"/>
    <sheet name="NFL项选秀首轮" sheetId="18" r:id="rId6"/>
    <sheet name="NBA项选秀首轮" sheetId="20" r:id="rId7"/>
    <sheet name="EPL项选秀首轮" sheetId="21" r:id="rId8"/>
    <sheet name="NHL项选秀首轮" sheetId="19" r:id="rId9"/>
    <sheet name="赛程提醒" sheetId="7" r:id="rId10"/>
  </sheets>
  <calcPr calcId="191029"/>
</workbook>
</file>

<file path=xl/calcChain.xml><?xml version="1.0" encoding="utf-8"?>
<calcChain xmlns="http://schemas.openxmlformats.org/spreadsheetml/2006/main">
  <c r="I4" i="12" l="1"/>
  <c r="L4" i="12"/>
  <c r="I5" i="12"/>
  <c r="L5" i="12"/>
  <c r="I6" i="12"/>
  <c r="L6" i="12"/>
  <c r="I7" i="12"/>
  <c r="L7" i="12"/>
  <c r="I8" i="12"/>
  <c r="L8" i="12"/>
  <c r="I9" i="12"/>
  <c r="L9" i="12"/>
  <c r="I10" i="12"/>
  <c r="L10" i="12"/>
  <c r="I11" i="12"/>
  <c r="L11" i="12"/>
  <c r="I12" i="12"/>
  <c r="L12" i="12"/>
  <c r="I13" i="12"/>
  <c r="L13" i="12"/>
  <c r="I14" i="12"/>
  <c r="L14" i="12"/>
  <c r="I15" i="12"/>
  <c r="L15" i="12"/>
  <c r="O4" i="12" l="1"/>
  <c r="O5" i="12" l="1"/>
  <c r="O6" i="12"/>
  <c r="O7" i="12"/>
  <c r="O8" i="12"/>
  <c r="O9" i="12"/>
  <c r="O10" i="12"/>
  <c r="O11" i="12"/>
  <c r="O12" i="12"/>
  <c r="O13" i="12"/>
  <c r="O14" i="12"/>
  <c r="O15" i="12"/>
  <c r="R4" i="12"/>
  <c r="R5" i="12"/>
  <c r="R6" i="12"/>
  <c r="R7" i="12"/>
  <c r="R8" i="12"/>
  <c r="R9" i="12"/>
  <c r="R10" i="12"/>
  <c r="R11" i="12"/>
  <c r="R12" i="12"/>
  <c r="R13" i="12"/>
  <c r="R14" i="12"/>
  <c r="R15" i="12"/>
  <c r="U4" i="12"/>
  <c r="U5" i="12"/>
  <c r="U6" i="12"/>
  <c r="U7" i="12"/>
  <c r="U8" i="12"/>
  <c r="U9" i="12"/>
  <c r="U10" i="12"/>
  <c r="U11" i="12"/>
  <c r="U12" i="12"/>
  <c r="U13" i="12"/>
  <c r="U14" i="12"/>
  <c r="U15" i="12"/>
  <c r="G15" i="12" l="1"/>
  <c r="G13" i="12"/>
  <c r="G5" i="12"/>
  <c r="G12" i="12"/>
  <c r="G6" i="12"/>
  <c r="G11" i="12"/>
  <c r="G10" i="12"/>
  <c r="G7" i="12"/>
  <c r="G14" i="12"/>
  <c r="G9" i="12"/>
  <c r="G8" i="12"/>
  <c r="G4" i="12"/>
  <c r="F10" i="12" l="1"/>
  <c r="F8" i="12"/>
  <c r="F12" i="12"/>
  <c r="F15" i="12"/>
  <c r="F5" i="12"/>
  <c r="F11" i="12"/>
  <c r="F4" i="12"/>
  <c r="F6" i="12"/>
  <c r="F13" i="12"/>
  <c r="F9" i="12"/>
  <c r="F7" i="12"/>
  <c r="F14" i="12"/>
</calcChain>
</file>

<file path=xl/sharedStrings.xml><?xml version="1.0" encoding="utf-8"?>
<sst xmlns="http://schemas.openxmlformats.org/spreadsheetml/2006/main" count="285" uniqueCount="163">
  <si>
    <t>计分</t>
    <phoneticPr fontId="1" type="noConversion"/>
  </si>
  <si>
    <t>球队</t>
    <phoneticPr fontId="1" type="noConversion"/>
  </si>
  <si>
    <t>MLB</t>
    <phoneticPr fontId="1" type="noConversion"/>
  </si>
  <si>
    <t>NFL</t>
    <phoneticPr fontId="1" type="noConversion"/>
  </si>
  <si>
    <t>NHL</t>
    <phoneticPr fontId="1" type="noConversion"/>
  </si>
  <si>
    <t>NBA</t>
    <phoneticPr fontId="1" type="noConversion"/>
  </si>
  <si>
    <t>EPL</t>
    <phoneticPr fontId="1" type="noConversion"/>
  </si>
  <si>
    <t>总分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</si>
  <si>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</si>
  <si>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</si>
  <si>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</si>
  <si>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</si>
  <si>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</si>
  <si>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</si>
  <si>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</si>
  <si>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</si>
  <si>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</si>
  <si>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</si>
  <si>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</si>
  <si>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</si>
  <si>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</si>
  <si>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</si>
  <si>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常规赛</t>
    <phoneticPr fontId="1" type="noConversion"/>
  </si>
  <si>
    <t>季后赛</t>
    <phoneticPr fontId="1" type="noConversion"/>
  </si>
  <si>
    <t>槑赛德斯崩驰</t>
  </si>
  <si>
    <t>章日天</t>
  </si>
  <si>
    <t>MLB</t>
  </si>
  <si>
    <t>NBA</t>
  </si>
  <si>
    <t>EPL</t>
  </si>
  <si>
    <t>实力榜</t>
  </si>
  <si>
    <t>实力榜</t>
    <phoneticPr fontId="1" type="noConversion"/>
  </si>
  <si>
    <t>队名</t>
    <phoneticPr fontId="1" type="noConversion"/>
  </si>
  <si>
    <t>口味虾</t>
    <phoneticPr fontId="1" type="noConversion"/>
  </si>
  <si>
    <t>槑老师、崩少</t>
    <phoneticPr fontId="1" type="noConversion"/>
  </si>
  <si>
    <t>蛋蛋、茶博、岩总</t>
    <phoneticPr fontId="1" type="noConversion"/>
  </si>
  <si>
    <t>茶岩蛋</t>
  </si>
  <si>
    <t>常规赛1</t>
    <phoneticPr fontId="1" type="noConversion"/>
  </si>
  <si>
    <t>常规赛2</t>
  </si>
  <si>
    <t>常规赛4</t>
  </si>
  <si>
    <t>排名</t>
  </si>
  <si>
    <t>常规赛3</t>
    <phoneticPr fontId="1" type="noConversion"/>
  </si>
  <si>
    <t>二次元小猪</t>
  </si>
  <si>
    <t>最终采用</t>
    <phoneticPr fontId="1" type="noConversion"/>
  </si>
  <si>
    <t>口味虾</t>
  </si>
  <si>
    <t>二次元小猪</t>
    <phoneticPr fontId="1" type="noConversion"/>
  </si>
  <si>
    <t>茶岩蛋</t>
    <phoneticPr fontId="1" type="noConversion"/>
  </si>
  <si>
    <t>槑赛德斯崩驰</t>
    <phoneticPr fontId="1" type="noConversion"/>
  </si>
  <si>
    <t>GuSone、Bee、forevergo</t>
    <phoneticPr fontId="1" type="noConversion"/>
  </si>
  <si>
    <t>young、bentley、ray</t>
    <phoneticPr fontId="1" type="noConversion"/>
  </si>
  <si>
    <t>铁人组队赛玩家</t>
    <phoneticPr fontId="1" type="noConversion"/>
  </si>
  <si>
    <t>鹏仔、Ballad、how</t>
    <phoneticPr fontId="1" type="noConversion"/>
  </si>
  <si>
    <t>三拒投</t>
    <phoneticPr fontId="1" type="noConversion"/>
  </si>
  <si>
    <t>forever1</t>
    <phoneticPr fontId="1" type="noConversion"/>
  </si>
  <si>
    <t>我们的偶像是魔球理论人</t>
    <phoneticPr fontId="1" type="noConversion"/>
  </si>
  <si>
    <t>鱼跃本垒</t>
    <phoneticPr fontId="1" type="noConversion"/>
  </si>
  <si>
    <t>pooh、CRWatson、LUKE</t>
    <phoneticPr fontId="1" type="noConversion"/>
  </si>
  <si>
    <t>金杯弟、小余</t>
    <phoneticPr fontId="1" type="noConversion"/>
  </si>
  <si>
    <t>虾酱、CR7、QB</t>
    <phoneticPr fontId="1" type="noConversion"/>
  </si>
  <si>
    <t>章总、Richard、三虎</t>
    <phoneticPr fontId="1" type="noConversion"/>
  </si>
  <si>
    <t>萌主、Benson</t>
    <phoneticPr fontId="1" type="noConversion"/>
  </si>
  <si>
    <t>月想、老王、小恶魔</t>
    <phoneticPr fontId="1" type="noConversion"/>
  </si>
  <si>
    <t>揍魔王</t>
  </si>
  <si>
    <t>奥特鹅</t>
  </si>
  <si>
    <t>企鹅、奥特</t>
    <phoneticPr fontId="1" type="noConversion"/>
  </si>
  <si>
    <t>Spurs No.1 in CNY</t>
  </si>
  <si>
    <t>JB章日虾.Going</t>
    <phoneticPr fontId="1" type="noConversion"/>
  </si>
  <si>
    <t>forevergo</t>
  </si>
  <si>
    <t>选秀顺位</t>
    <phoneticPr fontId="1" type="noConversion"/>
  </si>
  <si>
    <t>鱼跃本垒</t>
  </si>
  <si>
    <t>三拒投</t>
  </si>
  <si>
    <t>forever1</t>
  </si>
  <si>
    <t>我们的偶像是魔球理论人</t>
  </si>
  <si>
    <t>JB章日虾.Going</t>
  </si>
  <si>
    <t>揍魔王</t>
    <phoneticPr fontId="1" type="noConversion"/>
  </si>
  <si>
    <t>奥特鹅</t>
    <phoneticPr fontId="1" type="noConversion"/>
  </si>
  <si>
    <t>Spurs No.1 in CNY</t>
    <phoneticPr fontId="1" type="noConversion"/>
  </si>
  <si>
    <t>分盟</t>
    <phoneticPr fontId="1" type="noConversion"/>
  </si>
  <si>
    <t>链接</t>
    <phoneticPr fontId="1" type="noConversion"/>
  </si>
  <si>
    <t>https://football.fantasysports.yahoo.com/f1/749886/</t>
  </si>
  <si>
    <t>https://basketball.fantasysports.yahoo.com/nba/84043</t>
  </si>
  <si>
    <t>https://hockey.fantasysports.yahoo.com/hockey/29114</t>
  </si>
  <si>
    <t>https://www.fantrax.com/fantasy/league/w8kxeqp2mcnclqc9/home</t>
  </si>
  <si>
    <t>首轮顺位</t>
    <phoneticPr fontId="1" type="noConversion"/>
  </si>
  <si>
    <t>球员</t>
    <phoneticPr fontId="1" type="noConversion"/>
  </si>
  <si>
    <t>玩家队名</t>
    <phoneticPr fontId="1" type="noConversion"/>
  </si>
  <si>
    <t>Ja'Marr Chase(Cin - WR)</t>
  </si>
  <si>
    <t>Bijan Robinson(Atl - RB)</t>
  </si>
  <si>
    <t>Saquon Barkley(Phi - RB)</t>
  </si>
  <si>
    <t>Jahmyr Gibbs(Det - RB)</t>
  </si>
  <si>
    <t>CeeDee Lamb(Dal - WR)</t>
  </si>
  <si>
    <t>Christian McCaffrey(SF - RB)</t>
  </si>
  <si>
    <t>Derrick Henry(Bal - RB)</t>
  </si>
  <si>
    <t>Justin Jefferson(Min - WR)</t>
  </si>
  <si>
    <t>Amon-Ra St. Brown(Det - WR)</t>
  </si>
  <si>
    <t>Malik Nabers(NYG - WR)</t>
  </si>
  <si>
    <t>三虎章日虾</t>
  </si>
  <si>
    <t>Bravo's Unri...</t>
  </si>
  <si>
    <t>forever-bee</t>
  </si>
  <si>
    <t>冷酷无情...</t>
  </si>
  <si>
    <t>我们的偶...</t>
  </si>
  <si>
    <t>三拒投-�...</t>
  </si>
  <si>
    <t>奥特鹅-�...</t>
  </si>
  <si>
    <t>槑赛德斯...</t>
  </si>
  <si>
    <t>鱼跃本垒...</t>
  </si>
  <si>
    <t>Spurs No.1 i...</t>
  </si>
  <si>
    <t>Connor McDavid(EDM - C)</t>
  </si>
  <si>
    <t>Nathan MacKinnon(COL - C)</t>
  </si>
  <si>
    <t>Leon Draisaitl(EDM - C,LW)</t>
  </si>
  <si>
    <t>Nikita Kucherov(TB - RW)</t>
  </si>
  <si>
    <t>Cale Makar(COL - D)</t>
  </si>
  <si>
    <t>David Pastrnak(BOS - RW)</t>
  </si>
  <si>
    <t>Kirill Kaprizov(MIN - LW)</t>
  </si>
  <si>
    <t>Auston Matthews(TOR - C)</t>
  </si>
  <si>
    <t>Brady Tkachuk(OTT - C,LW)</t>
  </si>
  <si>
    <t>Mikko Rantanen(DAL - LW,RW)</t>
  </si>
  <si>
    <t>Connor Hellebuyck(WPG - G)</t>
  </si>
  <si>
    <t>Quinn Hughes(MIN - D)</t>
  </si>
  <si>
    <t>First Down Pooh</t>
  </si>
  <si>
    <t>励精图治...</t>
  </si>
  <si>
    <t>我偶魔</t>
  </si>
  <si>
    <t>Bee-forever</t>
  </si>
  <si>
    <t>Long Shot Bravo</t>
  </si>
  <si>
    <t>Brian Thomas Jr.(Jax - WR)</t>
  </si>
  <si>
    <t>Josh Jacobs(GB - RB)</t>
  </si>
  <si>
    <t>chen's Bold ...</t>
  </si>
  <si>
    <t>biao's Optim...</t>
  </si>
  <si>
    <t>Nikola Jokić(DEN - C)</t>
  </si>
  <si>
    <t>Shai Gilgeous-Alexander(OKC - PG)</t>
  </si>
  <si>
    <t>Victor Wembanyama(SAS - PF,C)</t>
  </si>
  <si>
    <t>Luka Dončić(LAL - PG,SG)</t>
  </si>
  <si>
    <t>Domantas Sabonis(SAC - C)</t>
  </si>
  <si>
    <t>Giannis Antetokounmpo(MIL - PF,C)</t>
  </si>
  <si>
    <t>Anthony Davis(DAL - PF,C)</t>
  </si>
  <si>
    <t>Trae Young(WAS - PG)</t>
  </si>
  <si>
    <t>Cade Cunningham(DET - PG,SG)</t>
  </si>
  <si>
    <t>Alperen Sengun(HOU - PF,C)</t>
  </si>
  <si>
    <t>Evan Mobley(CLE - PF,C)</t>
  </si>
  <si>
    <t>Karl-Anthony Towns(NYK - PF,C)</t>
  </si>
  <si>
    <t>鱼跃本垒-Bentley</t>
  </si>
  <si>
    <t>GibraltarRock</t>
  </si>
  <si>
    <t>ST_Z</t>
  </si>
  <si>
    <t>ballad</t>
  </si>
  <si>
    <t>奥特鹅-企鹅</t>
  </si>
  <si>
    <t>Bukayo Saka</t>
  </si>
  <si>
    <t>Cole Palmer</t>
  </si>
  <si>
    <t>Mohamed Salah Ghaly</t>
  </si>
  <si>
    <t>Erling Haaland</t>
  </si>
  <si>
    <t>Bruno Miguel Borges Fernandes</t>
  </si>
  <si>
    <t>Florian Wirtz</t>
  </si>
  <si>
    <t>Bryan Mbeumo</t>
  </si>
  <si>
    <t>Alexander Isak</t>
  </si>
  <si>
    <t>Eberechi Eze</t>
  </si>
  <si>
    <t>Jarrod Bowen</t>
  </si>
  <si>
    <t>Matheus Santos Carneiro Da Cunha</t>
  </si>
  <si>
    <t>Viktor Gy枚keres</t>
  </si>
  <si>
    <t>铁人团队赛NHL项选秀结果链接</t>
    <phoneticPr fontId="1" type="noConversion"/>
  </si>
  <si>
    <t>铁人团队赛NBA项选秀结果链接</t>
    <phoneticPr fontId="1" type="noConversion"/>
  </si>
  <si>
    <t>铁人团队赛NFL项选秀结果链接</t>
    <phoneticPr fontId="1" type="noConversion"/>
  </si>
  <si>
    <t>https://hockey.fantasysports.yahoo.com/hockey/29114/draftresults</t>
  </si>
  <si>
    <t>https://football.fantasysports.yahoo.com/f1/749886/draftresults</t>
  </si>
  <si>
    <t>https://basketball.fantasysports.yahoo.com/nba/84043/draftresults</t>
  </si>
  <si>
    <t>https://www.fantrax.com/fantasy/league/w8kxeqp2mcnclqc9/draft-results?view=ROUND</t>
  </si>
  <si>
    <t>铁人团队赛EPL项选秀结果链接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</si>
</sst>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rgb="FFDA2128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color theme="0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E3192"/>
        <bgColor indexed="64"/>
      </patternFill>
    </fill>
    <fill>
      <patternFill patternType="solid">
        <fgColor rgb="FF37003C"/>
        <bgColor indexed="64"/>
      </patternFill>
    </fill>
    <fill>
      <patternFill patternType="solid">
        <fgColor rgb="FF041E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10" borderId="0" xfId="0" applyFill="1">
      <alignment vertical="center"/>
    </xf>
    <xf numFmtId="0" fontId="0" fillId="13" borderId="0" xfId="0" applyFill="1">
      <alignment vertical="center"/>
    </xf>
    <xf numFmtId="0" fontId="5" fillId="10" borderId="0" xfId="0" applyFont="1" applyFill="1">
      <alignment vertical="center"/>
    </xf>
    <xf numFmtId="0" fontId="3" fillId="10" borderId="0" xfId="0" applyFont="1" applyFill="1">
      <alignment vertical="center"/>
    </xf>
    <xf numFmtId="0" fontId="5" fillId="11" borderId="0" xfId="0" applyFont="1" applyFill="1">
      <alignment vertical="center"/>
    </xf>
    <xf numFmtId="0" fontId="5" fillId="12" borderId="0" xfId="0" applyFont="1" applyFill="1">
      <alignment vertical="center"/>
    </xf>
    <xf numFmtId="0" fontId="3" fillId="12" borderId="0" xfId="0" applyFont="1" applyFill="1">
      <alignment vertical="center"/>
    </xf>
    <xf numFmtId="0" fontId="5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14" borderId="0" xfId="0" applyFont="1" applyFill="1">
      <alignment vertical="center"/>
    </xf>
    <xf numFmtId="0" fontId="3" fillId="14" borderId="0" xfId="0" applyFont="1" applyFill="1">
      <alignment vertical="center"/>
    </xf>
    <xf numFmtId="0" fontId="2" fillId="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2" fillId="9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A2128"/>
      <color rgb="FF111111"/>
      <color rgb="FF041E42"/>
      <color rgb="FF37003C"/>
      <color rgb="FF2E3192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DA33-3179-4B1B-9E16-546D9FAD9FFA}">
  <dimension ref="A1:G13"/>
  <sheetViews>
    <sheetView workbookViewId="0">
      <selection activeCell="E17" sqref="E17"/>
    </sheetView>
  </sheetViews>
  <sheetFormatPr defaultRowHeight="14.4" x14ac:dyDescent="0.25"/>
  <cols>
    <col min="2" max="2" width="13.88671875" customWidth="1"/>
    <col min="3" max="7" width="22.77734375" customWidth="1"/>
  </cols>
  <sheetData>
    <row r="1" spans="1:7" ht="16.2" x14ac:dyDescent="0.25">
      <c r="A1" s="34"/>
      <c r="B1" s="33" t="s">
        <v>67</v>
      </c>
      <c r="C1" s="33" t="s">
        <v>2</v>
      </c>
      <c r="D1" s="33" t="s">
        <v>4</v>
      </c>
      <c r="E1" s="33" t="s">
        <v>5</v>
      </c>
      <c r="F1" s="33" t="s">
        <v>3</v>
      </c>
      <c r="G1" s="33" t="s">
        <v>6</v>
      </c>
    </row>
    <row r="2" spans="1:7" ht="16.2" x14ac:dyDescent="0.25">
      <c r="A2" s="34"/>
      <c r="B2" s="35">
        <v>1</v>
      </c>
      <c r="C2" s="36" t="s">
        <v>68</v>
      </c>
      <c r="D2" s="36" t="s">
        <v>72</v>
      </c>
      <c r="E2" s="36" t="s">
        <v>24</v>
      </c>
      <c r="F2" s="36" t="s">
        <v>41</v>
      </c>
      <c r="G2" s="36" t="s">
        <v>64</v>
      </c>
    </row>
    <row r="3" spans="1:7" ht="16.2" x14ac:dyDescent="0.25">
      <c r="A3" s="34"/>
      <c r="B3" s="35">
        <v>2</v>
      </c>
      <c r="C3" s="37" t="s">
        <v>64</v>
      </c>
      <c r="D3" s="37" t="s">
        <v>61</v>
      </c>
      <c r="E3" s="37" t="s">
        <v>71</v>
      </c>
      <c r="F3" s="37" t="s">
        <v>35</v>
      </c>
      <c r="G3" s="37" t="s">
        <v>24</v>
      </c>
    </row>
    <row r="4" spans="1:7" ht="16.2" x14ac:dyDescent="0.25">
      <c r="A4" s="34"/>
      <c r="B4" s="35">
        <v>3</v>
      </c>
      <c r="C4" s="36" t="s">
        <v>69</v>
      </c>
      <c r="D4" s="36" t="s">
        <v>70</v>
      </c>
      <c r="E4" s="36" t="s">
        <v>43</v>
      </c>
      <c r="F4" s="36" t="s">
        <v>62</v>
      </c>
      <c r="G4" s="36" t="s">
        <v>35</v>
      </c>
    </row>
    <row r="5" spans="1:7" ht="16.2" x14ac:dyDescent="0.25">
      <c r="A5" s="34"/>
      <c r="B5" s="35">
        <v>4</v>
      </c>
      <c r="C5" s="36" t="s">
        <v>41</v>
      </c>
      <c r="D5" s="36" t="s">
        <v>35</v>
      </c>
      <c r="E5" s="36" t="s">
        <v>62</v>
      </c>
      <c r="F5" s="36" t="s">
        <v>43</v>
      </c>
      <c r="G5" s="36" t="s">
        <v>72</v>
      </c>
    </row>
    <row r="6" spans="1:7" ht="16.2" x14ac:dyDescent="0.25">
      <c r="A6" s="34"/>
      <c r="B6" s="35">
        <v>5</v>
      </c>
      <c r="C6" s="37" t="s">
        <v>70</v>
      </c>
      <c r="D6" s="37" t="s">
        <v>71</v>
      </c>
      <c r="E6" s="37" t="s">
        <v>69</v>
      </c>
      <c r="F6" s="37" t="s">
        <v>68</v>
      </c>
      <c r="G6" s="37" t="s">
        <v>71</v>
      </c>
    </row>
    <row r="7" spans="1:7" ht="16.2" x14ac:dyDescent="0.25">
      <c r="A7" s="34"/>
      <c r="B7" s="35">
        <v>6</v>
      </c>
      <c r="C7" s="37" t="s">
        <v>71</v>
      </c>
      <c r="D7" s="37" t="s">
        <v>69</v>
      </c>
      <c r="E7" s="37" t="s">
        <v>68</v>
      </c>
      <c r="F7" s="37" t="s">
        <v>64</v>
      </c>
      <c r="G7" s="37" t="s">
        <v>61</v>
      </c>
    </row>
    <row r="8" spans="1:7" ht="16.2" x14ac:dyDescent="0.25">
      <c r="A8" s="34"/>
      <c r="B8" s="35">
        <v>7</v>
      </c>
      <c r="C8" s="36" t="s">
        <v>43</v>
      </c>
      <c r="D8" s="36" t="s">
        <v>62</v>
      </c>
      <c r="E8" s="36" t="s">
        <v>41</v>
      </c>
      <c r="F8" s="36" t="s">
        <v>69</v>
      </c>
      <c r="G8" s="36" t="s">
        <v>43</v>
      </c>
    </row>
    <row r="9" spans="1:7" ht="16.2" x14ac:dyDescent="0.25">
      <c r="A9" s="34"/>
      <c r="B9" s="35">
        <v>8</v>
      </c>
      <c r="C9" s="36" t="s">
        <v>72</v>
      </c>
      <c r="D9" s="36" t="s">
        <v>24</v>
      </c>
      <c r="E9" s="36" t="s">
        <v>64</v>
      </c>
      <c r="F9" s="36" t="s">
        <v>71</v>
      </c>
      <c r="G9" s="36" t="s">
        <v>68</v>
      </c>
    </row>
    <row r="10" spans="1:7" ht="16.2" x14ac:dyDescent="0.25">
      <c r="A10" s="34"/>
      <c r="B10" s="35">
        <v>9</v>
      </c>
      <c r="C10" s="37" t="s">
        <v>24</v>
      </c>
      <c r="D10" s="37" t="s">
        <v>41</v>
      </c>
      <c r="E10" s="37" t="s">
        <v>35</v>
      </c>
      <c r="F10" s="37" t="s">
        <v>72</v>
      </c>
      <c r="G10" s="37" t="s">
        <v>41</v>
      </c>
    </row>
    <row r="11" spans="1:7" ht="16.2" x14ac:dyDescent="0.25">
      <c r="A11" s="34"/>
      <c r="B11" s="35">
        <v>10</v>
      </c>
      <c r="C11" s="37" t="s">
        <v>35</v>
      </c>
      <c r="D11" s="37" t="s">
        <v>68</v>
      </c>
      <c r="E11" s="37" t="s">
        <v>61</v>
      </c>
      <c r="F11" s="37" t="s">
        <v>24</v>
      </c>
      <c r="G11" s="37" t="s">
        <v>69</v>
      </c>
    </row>
    <row r="12" spans="1:7" ht="16.2" x14ac:dyDescent="0.25">
      <c r="A12" s="34"/>
      <c r="B12" s="35">
        <v>11</v>
      </c>
      <c r="C12" s="37" t="s">
        <v>62</v>
      </c>
      <c r="D12" s="37" t="s">
        <v>43</v>
      </c>
      <c r="E12" s="37" t="s">
        <v>70</v>
      </c>
      <c r="F12" s="37" t="s">
        <v>70</v>
      </c>
      <c r="G12" s="37" t="s">
        <v>70</v>
      </c>
    </row>
    <row r="13" spans="1:7" ht="16.2" x14ac:dyDescent="0.25">
      <c r="A13" s="34"/>
      <c r="B13" s="35">
        <v>12</v>
      </c>
      <c r="C13" s="37" t="s">
        <v>61</v>
      </c>
      <c r="D13" s="37" t="s">
        <v>64</v>
      </c>
      <c r="E13" s="37" t="s">
        <v>72</v>
      </c>
      <c r="F13" s="37" t="s">
        <v>61</v>
      </c>
      <c r="G13" s="37" t="s">
        <v>62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5B14-AE93-4B84-949F-30F5D0A39DDF}">
  <dimension ref="A1:B13"/>
  <sheetViews>
    <sheetView workbookViewId="0">
      <selection activeCell="B19" sqref="B19"/>
    </sheetView>
  </sheetViews>
  <sheetFormatPr defaultRowHeight="14.4" x14ac:dyDescent="0.25"/>
  <cols>
    <col min="1" max="1" width="23.5546875" customWidth="1"/>
    <col min="2" max="2" width="27.44140625" customWidth="1"/>
  </cols>
  <sheetData>
    <row r="1" spans="1:2" ht="16.2" x14ac:dyDescent="0.25">
      <c r="A1" s="33" t="s">
        <v>31</v>
      </c>
      <c r="B1" s="33" t="s">
        <v>49</v>
      </c>
    </row>
    <row r="2" spans="1:2" ht="15.6" x14ac:dyDescent="0.25">
      <c r="A2" s="35" t="s">
        <v>46</v>
      </c>
      <c r="B2" s="35" t="s">
        <v>33</v>
      </c>
    </row>
    <row r="3" spans="1:2" ht="15.6" x14ac:dyDescent="0.25">
      <c r="A3" s="35" t="s">
        <v>65</v>
      </c>
      <c r="B3" s="35" t="s">
        <v>58</v>
      </c>
    </row>
    <row r="4" spans="1:2" ht="15.6" x14ac:dyDescent="0.25">
      <c r="A4" s="35" t="s">
        <v>53</v>
      </c>
      <c r="B4" s="35" t="s">
        <v>56</v>
      </c>
    </row>
    <row r="5" spans="1:2" ht="15.6" x14ac:dyDescent="0.25">
      <c r="A5" s="35" t="s">
        <v>73</v>
      </c>
      <c r="B5" s="35" t="s">
        <v>60</v>
      </c>
    </row>
    <row r="6" spans="1:2" ht="15.6" x14ac:dyDescent="0.25">
      <c r="A6" s="35" t="s">
        <v>32</v>
      </c>
      <c r="B6" s="35" t="s">
        <v>57</v>
      </c>
    </row>
    <row r="7" spans="1:2" ht="15.6" x14ac:dyDescent="0.25">
      <c r="A7" s="35" t="s">
        <v>54</v>
      </c>
      <c r="B7" s="35" t="s">
        <v>48</v>
      </c>
    </row>
    <row r="8" spans="1:2" ht="15.6" x14ac:dyDescent="0.25">
      <c r="A8" s="35" t="s">
        <v>74</v>
      </c>
      <c r="B8" s="35" t="s">
        <v>63</v>
      </c>
    </row>
    <row r="9" spans="1:2" ht="15.6" x14ac:dyDescent="0.25">
      <c r="A9" s="35" t="s">
        <v>52</v>
      </c>
      <c r="B9" s="35" t="s">
        <v>47</v>
      </c>
    </row>
    <row r="10" spans="1:2" ht="15.6" x14ac:dyDescent="0.25">
      <c r="A10" s="35" t="s">
        <v>75</v>
      </c>
      <c r="B10" s="35" t="s">
        <v>59</v>
      </c>
    </row>
    <row r="11" spans="1:2" ht="15.6" x14ac:dyDescent="0.25">
      <c r="A11" s="35" t="s">
        <v>51</v>
      </c>
      <c r="B11" s="35" t="s">
        <v>50</v>
      </c>
    </row>
    <row r="12" spans="1:2" ht="15.6" x14ac:dyDescent="0.25">
      <c r="A12" s="35" t="s">
        <v>44</v>
      </c>
      <c r="B12" s="35" t="s">
        <v>55</v>
      </c>
    </row>
    <row r="13" spans="1:2" ht="15.6" x14ac:dyDescent="0.25">
      <c r="A13" s="35" t="s">
        <v>45</v>
      </c>
      <c r="B13" s="35" t="s">
        <v>34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269E-E00E-46B4-9074-BA288FC43C33}">
  <dimension ref="A1:B6"/>
  <sheetViews>
    <sheetView workbookViewId="0">
      <selection activeCell="C12" sqref="C12"/>
    </sheetView>
  </sheetViews>
  <sheetFormatPr defaultRowHeight="14.4" x14ac:dyDescent="0.25"/>
  <cols>
    <col min="1" max="1" width="13.21875" customWidth="1"/>
  </cols>
  <sheetData>
    <row r="1" spans="1:2" x14ac:dyDescent="0.25">
      <c r="A1" t="s">
        <v>76</v>
      </c>
      <c r="B1" t="s">
        <v>77</v>
      </c>
    </row>
    <row r="2" spans="1:2" x14ac:dyDescent="0.25">
      <c r="A2" t="s">
        <v>3</v>
      </c>
      <c r="B2" t="s">
        <v>78</v>
      </c>
    </row>
    <row r="3" spans="1:2" x14ac:dyDescent="0.25">
      <c r="A3" t="s">
        <v>5</v>
      </c>
      <c r="B3" t="s">
        <v>79</v>
      </c>
    </row>
    <row r="4" spans="1:2" x14ac:dyDescent="0.25">
      <c r="A4" t="s">
        <v>4</v>
      </c>
      <c r="B4" t="s">
        <v>80</v>
      </c>
    </row>
    <row r="5" spans="1:2" x14ac:dyDescent="0.25">
      <c r="A5" t="s">
        <v>6</v>
      </c>
      <c r="B5" t="s">
        <v>81</v>
      </c>
    </row>
    <row r="6" spans="1:2" x14ac:dyDescent="0.25">
      <c r="A6" t="s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98E9-1031-4C02-B1D5-E84BB6C66989}">
  <dimension ref="A2:V20"/>
  <sheetViews>
    <sheetView tabSelected="1" workbookViewId="0">
      <selection activeCell="E21" sqref="E21"/>
    </sheetView>
  </sheetViews>
  <sheetFormatPr defaultRowHeight="14.4" x14ac:dyDescent="0.25"/>
  <cols>
    <col min="1" max="1" width="4.88671875" customWidth="1"/>
    <col min="2" max="2" width="9.44140625" customWidth="1"/>
    <col min="4" max="4" width="3.33203125" customWidth="1"/>
    <col min="5" max="5" width="24.5546875" customWidth="1"/>
    <col min="6" max="7" width="7.77734375" customWidth="1"/>
    <col min="8" max="22" width="6.21875" customWidth="1"/>
  </cols>
  <sheetData>
    <row r="2" spans="1:22" ht="17.25" customHeight="1" x14ac:dyDescent="0.25">
      <c r="A2" s="2"/>
      <c r="B2" s="31" t="s">
        <v>23</v>
      </c>
      <c r="C2" s="29" t="s">
        <v>0</v>
      </c>
      <c r="E2" s="39" t="s">
        <v>1</v>
      </c>
      <c r="F2" s="40" t="s">
        <v>30</v>
      </c>
      <c r="G2" s="41" t="s">
        <v>7</v>
      </c>
      <c r="H2" s="23"/>
      <c r="I2" s="16" t="s">
        <v>26</v>
      </c>
      <c r="J2" s="23"/>
      <c r="L2" s="17" t="s">
        <v>3</v>
      </c>
      <c r="M2" s="24"/>
      <c r="N2" s="25"/>
      <c r="O2" s="18" t="s">
        <v>4</v>
      </c>
      <c r="P2" s="25"/>
      <c r="Q2" s="26"/>
      <c r="R2" s="19" t="s">
        <v>27</v>
      </c>
      <c r="S2" s="26"/>
      <c r="T2" s="27"/>
      <c r="U2" s="20" t="s">
        <v>28</v>
      </c>
      <c r="V2" s="27"/>
    </row>
    <row r="3" spans="1:22" ht="17.25" customHeight="1" x14ac:dyDescent="0.25">
      <c r="A3" s="2"/>
      <c r="B3" s="15" t="s">
        <v>39</v>
      </c>
      <c r="C3" s="32" t="s">
        <v>42</v>
      </c>
      <c r="E3" s="39"/>
      <c r="F3" s="40"/>
      <c r="G3" s="41"/>
      <c r="H3" s="4" t="s">
        <v>23</v>
      </c>
      <c r="I3" s="3" t="s">
        <v>0</v>
      </c>
      <c r="J3" s="3" t="s">
        <v>22</v>
      </c>
      <c r="K3" s="4" t="s">
        <v>23</v>
      </c>
      <c r="L3" s="3" t="s">
        <v>0</v>
      </c>
      <c r="M3" s="3" t="s">
        <v>22</v>
      </c>
      <c r="N3" s="4" t="s">
        <v>30</v>
      </c>
      <c r="O3" s="3" t="s">
        <v>0</v>
      </c>
      <c r="P3" s="3" t="s">
        <v>22</v>
      </c>
      <c r="Q3" s="4" t="s">
        <v>29</v>
      </c>
      <c r="R3" s="3" t="s">
        <v>0</v>
      </c>
      <c r="S3" s="3" t="s">
        <v>22</v>
      </c>
      <c r="T3" s="4" t="s">
        <v>29</v>
      </c>
      <c r="U3" s="3" t="s">
        <v>0</v>
      </c>
      <c r="V3" s="3" t="s">
        <v>22</v>
      </c>
    </row>
    <row r="4" spans="1:22" ht="17.25" customHeight="1" x14ac:dyDescent="0.25">
      <c r="A4" s="2"/>
      <c r="B4" s="1">
        <v>1</v>
      </c>
      <c r="C4" s="1">
        <v>13</v>
      </c>
      <c r="E4" s="35" t="s">
        <v>46</v>
      </c>
      <c r="F4" s="5">
        <f t="shared" ref="F4:F15" si="0">RANK(G4,$G$4:$G$15,0)</f>
        <v>9</v>
      </c>
      <c r="G4" s="5">
        <f>SUM($I4,$L4,$O4,$R4,$U4,$J4,$M4,$P4,$S4,$V4)</f>
        <v>15</v>
      </c>
      <c r="H4" s="1">
        <v>3</v>
      </c>
      <c r="I4" s="1">
        <f t="shared" ref="I4:I15" si="1">IFERROR(VLOOKUP(H4,$B$4:$C$15,2,0),"")</f>
        <v>11</v>
      </c>
      <c r="J4" s="1"/>
      <c r="K4" s="1">
        <v>11</v>
      </c>
      <c r="L4" s="1">
        <f t="shared" ref="L4:L15" si="2">IFERROR(VLOOKUP(K4,$B$4:$C$15,2,0),"")</f>
        <v>4</v>
      </c>
      <c r="M4" s="1"/>
      <c r="N4" s="1"/>
      <c r="O4" s="1" t="str">
        <f t="shared" ref="O4:O15" si="3">IFERROR(VLOOKUP(N4,$B$4:$C$15,2,0),"")</f>
        <v/>
      </c>
      <c r="P4" s="1"/>
      <c r="Q4" s="1"/>
      <c r="R4" s="1" t="str">
        <f t="shared" ref="R4:R15" si="4">IFERROR(VLOOKUP(Q4,$B$4:$C$15,2,0),"")</f>
        <v/>
      </c>
      <c r="S4" s="1"/>
      <c r="T4" s="1"/>
      <c r="U4" s="1" t="str">
        <f t="shared" ref="U4:U15" si="5">IFERROR(VLOOKUP(T4,$B$4:$C$15,2,0),"")</f>
        <v/>
      </c>
      <c r="V4" s="17"/>
    </row>
    <row r="5" spans="1:22" ht="17.25" customHeight="1" x14ac:dyDescent="0.25">
      <c r="A5" s="2"/>
      <c r="B5" s="1">
        <v>2</v>
      </c>
      <c r="C5" s="1">
        <v>12</v>
      </c>
      <c r="E5" s="35" t="s">
        <v>65</v>
      </c>
      <c r="F5" s="5">
        <f t="shared" si="0"/>
        <v>3</v>
      </c>
      <c r="G5" s="5">
        <f t="shared" ref="G5:G15" si="6">SUM($I5,$L5,$O5,$R5,$U5,$J5,$M5,$P5,$S5,$V5)</f>
        <v>19.5</v>
      </c>
      <c r="H5" s="1">
        <v>8</v>
      </c>
      <c r="I5" s="1">
        <f t="shared" si="1"/>
        <v>7</v>
      </c>
      <c r="J5" s="1"/>
      <c r="K5" s="1">
        <v>2</v>
      </c>
      <c r="L5" s="1">
        <f t="shared" si="2"/>
        <v>12</v>
      </c>
      <c r="M5" s="1">
        <v>0.5</v>
      </c>
      <c r="N5" s="1"/>
      <c r="O5" s="1" t="str">
        <f t="shared" si="3"/>
        <v/>
      </c>
      <c r="P5" s="1"/>
      <c r="Q5" s="1"/>
      <c r="R5" s="1" t="str">
        <f t="shared" si="4"/>
        <v/>
      </c>
      <c r="S5" s="1"/>
      <c r="T5" s="1"/>
      <c r="U5" s="1" t="str">
        <f t="shared" si="5"/>
        <v/>
      </c>
      <c r="V5" s="17"/>
    </row>
    <row r="6" spans="1:22" ht="17.25" customHeight="1" x14ac:dyDescent="0.25">
      <c r="A6" s="2"/>
      <c r="B6" s="1">
        <v>3</v>
      </c>
      <c r="C6" s="1">
        <v>11</v>
      </c>
      <c r="E6" s="35" t="s">
        <v>53</v>
      </c>
      <c r="F6" s="5">
        <f t="shared" si="0"/>
        <v>11</v>
      </c>
      <c r="G6" s="5">
        <f t="shared" si="6"/>
        <v>13</v>
      </c>
      <c r="H6" s="1">
        <v>9</v>
      </c>
      <c r="I6" s="1">
        <f t="shared" si="1"/>
        <v>6</v>
      </c>
      <c r="J6" s="1"/>
      <c r="K6" s="1">
        <v>8</v>
      </c>
      <c r="L6" s="1">
        <f>IFERROR(VLOOKUP(K6,$B$4:$C$15,2,0),"")</f>
        <v>7</v>
      </c>
      <c r="M6" s="1"/>
      <c r="N6" s="1"/>
      <c r="O6" s="1" t="str">
        <f t="shared" si="3"/>
        <v/>
      </c>
      <c r="P6" s="1"/>
      <c r="Q6" s="1"/>
      <c r="R6" s="1" t="str">
        <f t="shared" si="4"/>
        <v/>
      </c>
      <c r="S6" s="1"/>
      <c r="T6" s="1"/>
      <c r="U6" s="1" t="str">
        <f t="shared" si="5"/>
        <v/>
      </c>
      <c r="V6" s="17"/>
    </row>
    <row r="7" spans="1:22" ht="17.25" customHeight="1" x14ac:dyDescent="0.25">
      <c r="A7" s="2"/>
      <c r="B7" s="1">
        <v>4</v>
      </c>
      <c r="C7" s="1">
        <v>10</v>
      </c>
      <c r="E7" s="35" t="s">
        <v>73</v>
      </c>
      <c r="F7" s="5">
        <f t="shared" si="0"/>
        <v>5</v>
      </c>
      <c r="G7" s="5">
        <f t="shared" si="6"/>
        <v>17</v>
      </c>
      <c r="H7" s="1">
        <v>11</v>
      </c>
      <c r="I7" s="1">
        <f t="shared" si="1"/>
        <v>4</v>
      </c>
      <c r="J7" s="1"/>
      <c r="K7" s="1">
        <v>3</v>
      </c>
      <c r="L7" s="1">
        <f t="shared" si="2"/>
        <v>11</v>
      </c>
      <c r="M7" s="1">
        <v>2</v>
      </c>
      <c r="N7" s="1"/>
      <c r="O7" s="1" t="str">
        <f t="shared" si="3"/>
        <v/>
      </c>
      <c r="P7" s="1"/>
      <c r="Q7" s="1"/>
      <c r="R7" s="1" t="str">
        <f t="shared" si="4"/>
        <v/>
      </c>
      <c r="S7" s="1"/>
      <c r="T7" s="1"/>
      <c r="U7" s="1" t="str">
        <f t="shared" si="5"/>
        <v/>
      </c>
      <c r="V7" s="17"/>
    </row>
    <row r="8" spans="1:22" ht="17.25" customHeight="1" x14ac:dyDescent="0.25">
      <c r="A8" s="2"/>
      <c r="B8" s="1">
        <v>5</v>
      </c>
      <c r="C8" s="1">
        <v>9</v>
      </c>
      <c r="E8" s="35" t="s">
        <v>32</v>
      </c>
      <c r="F8" s="5">
        <f t="shared" si="0"/>
        <v>2</v>
      </c>
      <c r="G8" s="5">
        <f t="shared" si="6"/>
        <v>21</v>
      </c>
      <c r="H8" s="1">
        <v>7</v>
      </c>
      <c r="I8" s="1">
        <f t="shared" si="1"/>
        <v>8</v>
      </c>
      <c r="J8" s="1"/>
      <c r="K8" s="1">
        <v>4</v>
      </c>
      <c r="L8" s="1">
        <f t="shared" si="2"/>
        <v>10</v>
      </c>
      <c r="M8" s="1">
        <v>3</v>
      </c>
      <c r="N8" s="1"/>
      <c r="O8" s="1" t="str">
        <f t="shared" si="3"/>
        <v/>
      </c>
      <c r="P8" s="1"/>
      <c r="Q8" s="1"/>
      <c r="R8" s="1" t="str">
        <f t="shared" si="4"/>
        <v/>
      </c>
      <c r="S8" s="1"/>
      <c r="T8" s="1"/>
      <c r="U8" s="1" t="str">
        <f t="shared" si="5"/>
        <v/>
      </c>
      <c r="V8" s="17"/>
    </row>
    <row r="9" spans="1:22" ht="17.25" customHeight="1" x14ac:dyDescent="0.25">
      <c r="A9" s="2"/>
      <c r="B9" s="1">
        <v>6</v>
      </c>
      <c r="C9" s="1">
        <v>8</v>
      </c>
      <c r="E9" s="35" t="s">
        <v>54</v>
      </c>
      <c r="F9" s="5">
        <f t="shared" si="0"/>
        <v>1</v>
      </c>
      <c r="G9" s="5">
        <f t="shared" si="6"/>
        <v>24</v>
      </c>
      <c r="H9" s="1">
        <v>1</v>
      </c>
      <c r="I9" s="1">
        <f t="shared" si="1"/>
        <v>13</v>
      </c>
      <c r="J9" s="1">
        <v>3</v>
      </c>
      <c r="K9" s="1">
        <v>6</v>
      </c>
      <c r="L9" s="1">
        <f>IFERROR(VLOOKUP(K9,$B$4:$C$15,2,0),"")</f>
        <v>8</v>
      </c>
      <c r="M9" s="1"/>
      <c r="N9" s="1"/>
      <c r="O9" s="1" t="str">
        <f t="shared" si="3"/>
        <v/>
      </c>
      <c r="P9" s="1"/>
      <c r="Q9" s="1"/>
      <c r="R9" s="1" t="str">
        <f t="shared" si="4"/>
        <v/>
      </c>
      <c r="S9" s="1"/>
      <c r="T9" s="1"/>
      <c r="U9" s="1" t="str">
        <f t="shared" si="5"/>
        <v/>
      </c>
      <c r="V9" s="17"/>
    </row>
    <row r="10" spans="1:22" ht="17.25" customHeight="1" x14ac:dyDescent="0.25">
      <c r="A10" s="2"/>
      <c r="B10" s="1">
        <v>7</v>
      </c>
      <c r="C10" s="1">
        <v>8</v>
      </c>
      <c r="E10" s="35" t="s">
        <v>74</v>
      </c>
      <c r="F10" s="5">
        <f t="shared" si="0"/>
        <v>9</v>
      </c>
      <c r="G10" s="5">
        <f t="shared" si="6"/>
        <v>15</v>
      </c>
      <c r="H10" s="1">
        <v>4</v>
      </c>
      <c r="I10" s="1">
        <f t="shared" si="1"/>
        <v>10</v>
      </c>
      <c r="J10" s="1"/>
      <c r="K10" s="1">
        <v>10</v>
      </c>
      <c r="L10" s="1">
        <f>IFERROR(VLOOKUP(K10,$B$4:$C$15,2,0),"")</f>
        <v>5</v>
      </c>
      <c r="M10" s="1"/>
      <c r="N10" s="1"/>
      <c r="O10" s="1" t="str">
        <f t="shared" si="3"/>
        <v/>
      </c>
      <c r="P10" s="1"/>
      <c r="Q10" s="1"/>
      <c r="R10" s="1" t="str">
        <f t="shared" si="4"/>
        <v/>
      </c>
      <c r="S10" s="1"/>
      <c r="T10" s="1"/>
      <c r="U10" s="1" t="str">
        <f t="shared" si="5"/>
        <v/>
      </c>
      <c r="V10" s="17"/>
    </row>
    <row r="11" spans="1:22" ht="17.25" customHeight="1" x14ac:dyDescent="0.25">
      <c r="A11" s="2"/>
      <c r="B11" s="1">
        <v>8</v>
      </c>
      <c r="C11" s="1">
        <v>7</v>
      </c>
      <c r="E11" s="35" t="s">
        <v>52</v>
      </c>
      <c r="F11" s="5">
        <f t="shared" si="0"/>
        <v>8</v>
      </c>
      <c r="G11" s="5">
        <f t="shared" si="6"/>
        <v>16</v>
      </c>
      <c r="H11" s="1">
        <v>5</v>
      </c>
      <c r="I11" s="1">
        <f t="shared" si="1"/>
        <v>9</v>
      </c>
      <c r="J11" s="1">
        <v>1</v>
      </c>
      <c r="K11" s="1">
        <v>9</v>
      </c>
      <c r="L11" s="1">
        <f t="shared" si="2"/>
        <v>6</v>
      </c>
      <c r="M11" s="1"/>
      <c r="N11" s="1"/>
      <c r="O11" s="1" t="str">
        <f t="shared" si="3"/>
        <v/>
      </c>
      <c r="P11" s="1"/>
      <c r="Q11" s="1"/>
      <c r="R11" s="1" t="str">
        <f t="shared" si="4"/>
        <v/>
      </c>
      <c r="S11" s="1"/>
      <c r="T11" s="1"/>
      <c r="U11" s="1" t="str">
        <f t="shared" si="5"/>
        <v/>
      </c>
      <c r="V11" s="17"/>
    </row>
    <row r="12" spans="1:22" ht="17.25" customHeight="1" x14ac:dyDescent="0.25">
      <c r="A12" s="2"/>
      <c r="B12" s="1">
        <v>9</v>
      </c>
      <c r="C12" s="1">
        <v>6</v>
      </c>
      <c r="E12" s="35" t="s">
        <v>75</v>
      </c>
      <c r="F12" s="5">
        <f t="shared" si="0"/>
        <v>4</v>
      </c>
      <c r="G12" s="5">
        <f t="shared" si="6"/>
        <v>17.5</v>
      </c>
      <c r="H12" s="1">
        <v>6</v>
      </c>
      <c r="I12" s="1">
        <f t="shared" si="1"/>
        <v>8</v>
      </c>
      <c r="J12" s="1">
        <v>0.5</v>
      </c>
      <c r="K12" s="1">
        <v>5</v>
      </c>
      <c r="L12" s="1">
        <f t="shared" si="2"/>
        <v>9</v>
      </c>
      <c r="M12" s="1"/>
      <c r="N12" s="1"/>
      <c r="O12" s="1" t="str">
        <f t="shared" si="3"/>
        <v/>
      </c>
      <c r="P12" s="1"/>
      <c r="Q12" s="1"/>
      <c r="R12" s="1" t="str">
        <f t="shared" si="4"/>
        <v/>
      </c>
      <c r="S12" s="1"/>
      <c r="T12" s="1"/>
      <c r="U12" s="1" t="str">
        <f t="shared" si="5"/>
        <v/>
      </c>
      <c r="V12" s="17"/>
    </row>
    <row r="13" spans="1:22" ht="17.25" customHeight="1" x14ac:dyDescent="0.25">
      <c r="A13" s="2"/>
      <c r="B13" s="1">
        <v>10</v>
      </c>
      <c r="C13" s="1">
        <v>5</v>
      </c>
      <c r="E13" s="35" t="s">
        <v>51</v>
      </c>
      <c r="F13" s="5">
        <f t="shared" si="0"/>
        <v>5</v>
      </c>
      <c r="G13" s="5">
        <f t="shared" si="6"/>
        <v>17</v>
      </c>
      <c r="H13" s="1">
        <v>2</v>
      </c>
      <c r="I13" s="1">
        <f t="shared" si="1"/>
        <v>12</v>
      </c>
      <c r="J13" s="1">
        <v>2</v>
      </c>
      <c r="K13" s="1">
        <v>12</v>
      </c>
      <c r="L13" s="1">
        <f t="shared" si="2"/>
        <v>3</v>
      </c>
      <c r="M13" s="1"/>
      <c r="N13" s="1"/>
      <c r="O13" s="1" t="str">
        <f t="shared" si="3"/>
        <v/>
      </c>
      <c r="P13" s="1"/>
      <c r="Q13" s="1"/>
      <c r="R13" s="1" t="str">
        <f t="shared" si="4"/>
        <v/>
      </c>
      <c r="S13" s="1"/>
      <c r="T13" s="1"/>
      <c r="U13" s="1" t="str">
        <f t="shared" si="5"/>
        <v/>
      </c>
      <c r="V13" s="17"/>
    </row>
    <row r="14" spans="1:22" ht="17.25" customHeight="1" x14ac:dyDescent="0.25">
      <c r="A14" s="2"/>
      <c r="B14" s="1">
        <v>11</v>
      </c>
      <c r="C14" s="1">
        <v>4</v>
      </c>
      <c r="E14" s="35" t="s">
        <v>44</v>
      </c>
      <c r="F14" s="5">
        <f t="shared" si="0"/>
        <v>5</v>
      </c>
      <c r="G14" s="5">
        <f t="shared" si="6"/>
        <v>17</v>
      </c>
      <c r="H14" s="1">
        <v>12</v>
      </c>
      <c r="I14" s="1">
        <f t="shared" si="1"/>
        <v>3</v>
      </c>
      <c r="J14" s="1"/>
      <c r="K14" s="1">
        <v>1</v>
      </c>
      <c r="L14" s="1">
        <f t="shared" si="2"/>
        <v>13</v>
      </c>
      <c r="M14" s="1">
        <v>1</v>
      </c>
      <c r="N14" s="1"/>
      <c r="O14" s="1" t="str">
        <f t="shared" si="3"/>
        <v/>
      </c>
      <c r="P14" s="1"/>
      <c r="Q14" s="1"/>
      <c r="R14" s="1" t="str">
        <f t="shared" si="4"/>
        <v/>
      </c>
      <c r="S14" s="1"/>
      <c r="T14" s="1"/>
      <c r="U14" s="1" t="str">
        <f t="shared" si="5"/>
        <v/>
      </c>
      <c r="V14" s="17"/>
    </row>
    <row r="15" spans="1:22" ht="17.25" customHeight="1" x14ac:dyDescent="0.25">
      <c r="A15" s="2"/>
      <c r="B15" s="1">
        <v>12</v>
      </c>
      <c r="C15" s="1">
        <v>3</v>
      </c>
      <c r="E15" s="35" t="s">
        <v>45</v>
      </c>
      <c r="F15" s="5">
        <f t="shared" si="0"/>
        <v>11</v>
      </c>
      <c r="G15" s="5">
        <f t="shared" si="6"/>
        <v>13</v>
      </c>
      <c r="H15" s="1">
        <v>10</v>
      </c>
      <c r="I15" s="1">
        <f t="shared" si="1"/>
        <v>5</v>
      </c>
      <c r="J15" s="1"/>
      <c r="K15" s="1">
        <v>7</v>
      </c>
      <c r="L15" s="1">
        <f t="shared" si="2"/>
        <v>8</v>
      </c>
      <c r="M15" s="1"/>
      <c r="N15" s="1"/>
      <c r="O15" s="1" t="str">
        <f t="shared" si="3"/>
        <v/>
      </c>
      <c r="P15" s="1"/>
      <c r="Q15" s="1"/>
      <c r="R15" s="1" t="str">
        <f t="shared" si="4"/>
        <v/>
      </c>
      <c r="S15" s="1"/>
      <c r="T15" s="1"/>
      <c r="U15" s="1" t="str">
        <f t="shared" si="5"/>
        <v/>
      </c>
      <c r="V15" s="17"/>
    </row>
    <row r="16" spans="1:22" x14ac:dyDescent="0.25">
      <c r="H16" s="2"/>
      <c r="I16" s="2"/>
      <c r="J16" s="2"/>
    </row>
    <row r="17" spans="1:3" x14ac:dyDescent="0.25">
      <c r="A17" s="2"/>
      <c r="B17" s="30" t="s">
        <v>36</v>
      </c>
      <c r="C17" s="1">
        <v>3</v>
      </c>
    </row>
    <row r="18" spans="1:3" x14ac:dyDescent="0.25">
      <c r="A18" s="2"/>
      <c r="B18" s="28" t="s">
        <v>37</v>
      </c>
      <c r="C18" s="1">
        <v>2</v>
      </c>
    </row>
    <row r="19" spans="1:3" x14ac:dyDescent="0.25">
      <c r="A19" s="2"/>
      <c r="B19" s="30" t="s">
        <v>40</v>
      </c>
      <c r="C19" s="1">
        <v>1</v>
      </c>
    </row>
    <row r="20" spans="1:3" x14ac:dyDescent="0.25">
      <c r="A20" s="2"/>
      <c r="B20" s="28" t="s">
        <v>38</v>
      </c>
      <c r="C20" s="1">
        <v>0.5</v>
      </c>
    </row>
  </sheetData>
  <mergeCells count="3">
    <mergeCell ref="E2:E3"/>
    <mergeCell ref="F2:F3"/>
    <mergeCell ref="G2:G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5E8E-8721-4E94-BD42-947FD23F92B5}">
  <dimension ref="A1:B4"/>
  <sheetViews>
    <sheetView workbookViewId="0">
      <selection activeCell="A4" sqref="A4"/>
    </sheetView>
  </sheetViews>
  <sheetFormatPr defaultRowHeight="14.4" x14ac:dyDescent="0.25"/>
  <cols>
    <col min="1" max="1" width="15" customWidth="1"/>
  </cols>
  <sheetData>
    <row r="1" spans="1:2" x14ac:dyDescent="0.25">
      <c r="A1" t="s">
        <v>155</v>
      </c>
      <c r="B1" t="s">
        <v>158</v>
      </c>
    </row>
    <row r="2" spans="1:2" x14ac:dyDescent="0.25">
      <c r="A2" t="s">
        <v>156</v>
      </c>
      <c r="B2" t="s">
        <v>160</v>
      </c>
    </row>
    <row r="3" spans="1:2" x14ac:dyDescent="0.25">
      <c r="A3" t="s">
        <v>157</v>
      </c>
      <c r="B3" t="s">
        <v>159</v>
      </c>
    </row>
    <row r="4" spans="1:2" x14ac:dyDescent="0.25">
      <c r="A4" t="s">
        <v>162</v>
      </c>
      <c r="B4" t="s">
        <v>161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DA74-68F0-4268-8692-97E1428CE031}">
  <dimension ref="B1:F13"/>
  <sheetViews>
    <sheetView workbookViewId="0">
      <selection activeCell="C24" sqref="C24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82</v>
      </c>
      <c r="C1" s="38" t="s">
        <v>83</v>
      </c>
      <c r="D1" s="38" t="s">
        <v>84</v>
      </c>
      <c r="E1" s="36"/>
      <c r="F1" s="36"/>
    </row>
    <row r="2" spans="2:6" ht="16.2" x14ac:dyDescent="0.25">
      <c r="B2" s="36">
        <v>1</v>
      </c>
      <c r="C2" s="36" t="s">
        <v>85</v>
      </c>
      <c r="D2" s="36" t="s">
        <v>117</v>
      </c>
      <c r="E2" s="36"/>
      <c r="F2" s="36"/>
    </row>
    <row r="3" spans="2:6" ht="16.2" x14ac:dyDescent="0.25">
      <c r="B3" s="36">
        <v>2</v>
      </c>
      <c r="C3" s="36" t="s">
        <v>86</v>
      </c>
      <c r="D3" s="36" t="s">
        <v>118</v>
      </c>
      <c r="E3" s="36"/>
      <c r="F3" s="36"/>
    </row>
    <row r="4" spans="2:6" ht="16.2" x14ac:dyDescent="0.25">
      <c r="B4" s="36">
        <v>3</v>
      </c>
      <c r="C4" s="36" t="s">
        <v>87</v>
      </c>
      <c r="D4" s="36" t="s">
        <v>62</v>
      </c>
      <c r="E4" s="36"/>
      <c r="F4" s="36"/>
    </row>
    <row r="5" spans="2:6" ht="16.2" x14ac:dyDescent="0.25">
      <c r="B5" s="36">
        <v>4</v>
      </c>
      <c r="C5" s="36" t="s">
        <v>88</v>
      </c>
      <c r="D5" s="36" t="s">
        <v>43</v>
      </c>
      <c r="E5" s="36"/>
      <c r="F5" s="36"/>
    </row>
    <row r="6" spans="2:6" ht="16.2" x14ac:dyDescent="0.25">
      <c r="B6" s="36">
        <v>5</v>
      </c>
      <c r="C6" s="36" t="s">
        <v>89</v>
      </c>
      <c r="D6" s="36" t="s">
        <v>103</v>
      </c>
      <c r="E6" s="36"/>
      <c r="F6" s="36"/>
    </row>
    <row r="7" spans="2:6" ht="16.2" x14ac:dyDescent="0.25">
      <c r="B7" s="36">
        <v>6</v>
      </c>
      <c r="C7" s="36" t="s">
        <v>91</v>
      </c>
      <c r="D7" s="36" t="s">
        <v>104</v>
      </c>
      <c r="E7" s="36"/>
      <c r="F7" s="36"/>
    </row>
    <row r="8" spans="2:6" ht="16.2" x14ac:dyDescent="0.25">
      <c r="B8" s="36">
        <v>7</v>
      </c>
      <c r="C8" s="36" t="s">
        <v>92</v>
      </c>
      <c r="D8" s="36" t="s">
        <v>100</v>
      </c>
      <c r="E8" s="36"/>
      <c r="F8" s="36"/>
    </row>
    <row r="9" spans="2:6" ht="16.2" x14ac:dyDescent="0.25">
      <c r="B9" s="36">
        <v>8</v>
      </c>
      <c r="C9" s="36" t="s">
        <v>93</v>
      </c>
      <c r="D9" s="36" t="s">
        <v>119</v>
      </c>
      <c r="E9" s="36"/>
      <c r="F9" s="36"/>
    </row>
    <row r="10" spans="2:6" ht="16.2" x14ac:dyDescent="0.25">
      <c r="B10" s="36">
        <v>9</v>
      </c>
      <c r="C10" s="36" t="s">
        <v>90</v>
      </c>
      <c r="D10" s="36" t="s">
        <v>95</v>
      </c>
      <c r="E10" s="36"/>
      <c r="F10" s="36"/>
    </row>
    <row r="11" spans="2:6" ht="16.2" x14ac:dyDescent="0.25">
      <c r="B11" s="36">
        <v>10</v>
      </c>
      <c r="C11" s="36" t="s">
        <v>94</v>
      </c>
      <c r="D11" s="36" t="s">
        <v>102</v>
      </c>
      <c r="E11" s="36"/>
      <c r="F11" s="36"/>
    </row>
    <row r="12" spans="2:6" ht="16.2" x14ac:dyDescent="0.25">
      <c r="B12" s="36">
        <v>11</v>
      </c>
      <c r="C12" s="36" t="s">
        <v>122</v>
      </c>
      <c r="D12" s="36" t="s">
        <v>120</v>
      </c>
      <c r="E12" s="36"/>
      <c r="F12" s="36"/>
    </row>
    <row r="13" spans="2:6" ht="16.2" x14ac:dyDescent="0.25">
      <c r="B13" s="36">
        <v>12</v>
      </c>
      <c r="C13" s="36" t="s">
        <v>123</v>
      </c>
      <c r="D13" s="36" t="s">
        <v>121</v>
      </c>
      <c r="E13" s="36"/>
      <c r="F13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BD91-B961-4C6B-9507-6BFA80A63637}">
  <dimension ref="B1:F13"/>
  <sheetViews>
    <sheetView workbookViewId="0">
      <selection activeCell="G22" sqref="G22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82</v>
      </c>
      <c r="C1" s="38" t="s">
        <v>83</v>
      </c>
      <c r="D1" s="38" t="s">
        <v>84</v>
      </c>
      <c r="E1" s="36"/>
      <c r="F1" s="36"/>
    </row>
    <row r="2" spans="2:6" ht="16.2" x14ac:dyDescent="0.25">
      <c r="B2" s="36">
        <v>1</v>
      </c>
      <c r="C2" s="36" t="s">
        <v>126</v>
      </c>
      <c r="D2" s="36" t="s">
        <v>102</v>
      </c>
      <c r="E2" s="36"/>
      <c r="F2" s="36"/>
    </row>
    <row r="3" spans="2:6" ht="16.2" x14ac:dyDescent="0.25">
      <c r="B3" s="36">
        <v>2</v>
      </c>
      <c r="C3" s="36" t="s">
        <v>127</v>
      </c>
      <c r="D3" s="36" t="s">
        <v>119</v>
      </c>
      <c r="E3" s="36"/>
      <c r="F3" s="36"/>
    </row>
    <row r="4" spans="2:6" ht="16.2" x14ac:dyDescent="0.25">
      <c r="B4" s="36">
        <v>3</v>
      </c>
      <c r="C4" s="36" t="s">
        <v>128</v>
      </c>
      <c r="D4" s="36" t="s">
        <v>43</v>
      </c>
      <c r="E4" s="36"/>
      <c r="F4" s="36"/>
    </row>
    <row r="5" spans="2:6" ht="16.2" x14ac:dyDescent="0.25">
      <c r="B5" s="36">
        <v>4</v>
      </c>
      <c r="C5" s="36" t="s">
        <v>129</v>
      </c>
      <c r="D5" s="36" t="s">
        <v>62</v>
      </c>
      <c r="E5" s="36"/>
      <c r="F5" s="36"/>
    </row>
    <row r="6" spans="2:6" ht="16.2" x14ac:dyDescent="0.25">
      <c r="B6" s="36">
        <v>5</v>
      </c>
      <c r="C6" s="36" t="s">
        <v>130</v>
      </c>
      <c r="D6" s="36" t="s">
        <v>69</v>
      </c>
      <c r="E6" s="36"/>
      <c r="F6" s="36"/>
    </row>
    <row r="7" spans="2:6" ht="16.2" x14ac:dyDescent="0.25">
      <c r="B7" s="36">
        <v>6</v>
      </c>
      <c r="C7" s="36" t="s">
        <v>131</v>
      </c>
      <c r="D7" s="36" t="s">
        <v>103</v>
      </c>
      <c r="E7" s="36"/>
      <c r="F7" s="36"/>
    </row>
    <row r="8" spans="2:6" ht="16.2" x14ac:dyDescent="0.25">
      <c r="B8" s="36">
        <v>7</v>
      </c>
      <c r="C8" s="36" t="s">
        <v>132</v>
      </c>
      <c r="D8" s="36" t="s">
        <v>41</v>
      </c>
      <c r="E8" s="36"/>
      <c r="F8" s="36"/>
    </row>
    <row r="9" spans="2:6" ht="16.2" x14ac:dyDescent="0.25">
      <c r="B9" s="36">
        <v>8</v>
      </c>
      <c r="C9" s="36" t="s">
        <v>133</v>
      </c>
      <c r="D9" s="36" t="s">
        <v>104</v>
      </c>
      <c r="E9" s="36"/>
      <c r="F9" s="36"/>
    </row>
    <row r="10" spans="2:6" ht="16.2" x14ac:dyDescent="0.25">
      <c r="B10" s="36">
        <v>9</v>
      </c>
      <c r="C10" s="36" t="s">
        <v>134</v>
      </c>
      <c r="D10" s="36" t="s">
        <v>98</v>
      </c>
      <c r="E10" s="36"/>
      <c r="F10" s="36"/>
    </row>
    <row r="11" spans="2:6" ht="16.2" x14ac:dyDescent="0.25">
      <c r="B11" s="36">
        <v>10</v>
      </c>
      <c r="C11" s="36" t="s">
        <v>135</v>
      </c>
      <c r="D11" s="36" t="s">
        <v>124</v>
      </c>
      <c r="E11" s="36"/>
      <c r="F11" s="36"/>
    </row>
    <row r="12" spans="2:6" ht="16.2" x14ac:dyDescent="0.25">
      <c r="B12" s="36">
        <v>11</v>
      </c>
      <c r="C12" s="36" t="s">
        <v>136</v>
      </c>
      <c r="D12" s="36" t="s">
        <v>70</v>
      </c>
      <c r="E12" s="36"/>
      <c r="F12" s="36"/>
    </row>
    <row r="13" spans="2:6" ht="16.2" x14ac:dyDescent="0.25">
      <c r="B13" s="36">
        <v>12</v>
      </c>
      <c r="C13" s="36" t="s">
        <v>137</v>
      </c>
      <c r="D13" s="36" t="s">
        <v>125</v>
      </c>
      <c r="E13" s="36"/>
      <c r="F13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9F9C-181D-4482-B84A-1F6CB265B2BC}">
  <dimension ref="B1:F13"/>
  <sheetViews>
    <sheetView workbookViewId="0">
      <selection activeCell="C12" sqref="C12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82</v>
      </c>
      <c r="C1" s="38" t="s">
        <v>83</v>
      </c>
      <c r="D1" s="38" t="s">
        <v>84</v>
      </c>
      <c r="E1" s="36"/>
      <c r="F1" s="36"/>
    </row>
    <row r="2" spans="2:6" ht="16.2" x14ac:dyDescent="0.25">
      <c r="B2" s="36">
        <v>1</v>
      </c>
      <c r="C2" s="36" t="s">
        <v>143</v>
      </c>
      <c r="D2" s="36" t="s">
        <v>64</v>
      </c>
      <c r="E2" s="36"/>
      <c r="F2" s="36"/>
    </row>
    <row r="3" spans="2:6" ht="16.2" x14ac:dyDescent="0.25">
      <c r="B3" s="36">
        <v>2</v>
      </c>
      <c r="C3" s="36" t="s">
        <v>144</v>
      </c>
      <c r="D3" s="36" t="s">
        <v>24</v>
      </c>
      <c r="E3" s="36"/>
      <c r="F3" s="36"/>
    </row>
    <row r="4" spans="2:6" ht="16.2" x14ac:dyDescent="0.25">
      <c r="B4" s="36">
        <v>3</v>
      </c>
      <c r="C4" s="36" t="s">
        <v>145</v>
      </c>
      <c r="D4" s="36" t="s">
        <v>139</v>
      </c>
      <c r="E4" s="36"/>
      <c r="F4" s="36"/>
    </row>
    <row r="5" spans="2:6" ht="16.2" x14ac:dyDescent="0.25">
      <c r="B5" s="36">
        <v>4</v>
      </c>
      <c r="C5" s="36" t="s">
        <v>146</v>
      </c>
      <c r="D5" s="36" t="s">
        <v>25</v>
      </c>
      <c r="E5" s="36"/>
      <c r="F5" s="36"/>
    </row>
    <row r="6" spans="2:6" ht="16.2" x14ac:dyDescent="0.25">
      <c r="B6" s="36">
        <v>5</v>
      </c>
      <c r="C6" s="36" t="s">
        <v>147</v>
      </c>
      <c r="D6" s="36" t="s">
        <v>119</v>
      </c>
      <c r="E6" s="36"/>
      <c r="F6" s="36"/>
    </row>
    <row r="7" spans="2:6" ht="16.2" x14ac:dyDescent="0.25">
      <c r="B7" s="36">
        <v>6</v>
      </c>
      <c r="C7" s="36" t="s">
        <v>148</v>
      </c>
      <c r="D7" s="36" t="s">
        <v>140</v>
      </c>
      <c r="E7" s="36"/>
      <c r="F7" s="36"/>
    </row>
    <row r="8" spans="2:6" ht="16.2" x14ac:dyDescent="0.25">
      <c r="B8" s="36">
        <v>7</v>
      </c>
      <c r="C8" s="36" t="s">
        <v>149</v>
      </c>
      <c r="D8" s="36" t="s">
        <v>43</v>
      </c>
      <c r="E8" s="36"/>
      <c r="F8" s="36"/>
    </row>
    <row r="9" spans="2:6" ht="16.2" x14ac:dyDescent="0.25">
      <c r="B9" s="36">
        <v>8</v>
      </c>
      <c r="C9" s="36" t="s">
        <v>150</v>
      </c>
      <c r="D9" s="36" t="s">
        <v>138</v>
      </c>
      <c r="E9" s="36"/>
      <c r="F9" s="36"/>
    </row>
    <row r="10" spans="2:6" ht="16.2" x14ac:dyDescent="0.25">
      <c r="B10" s="36">
        <v>9</v>
      </c>
      <c r="C10" s="36" t="s">
        <v>151</v>
      </c>
      <c r="D10" s="36" t="s">
        <v>41</v>
      </c>
      <c r="E10" s="36"/>
      <c r="F10" s="36"/>
    </row>
    <row r="11" spans="2:6" ht="16.2" x14ac:dyDescent="0.25">
      <c r="B11" s="36">
        <v>10</v>
      </c>
      <c r="C11" s="36" t="s">
        <v>152</v>
      </c>
      <c r="D11" s="36" t="s">
        <v>141</v>
      </c>
      <c r="E11" s="36"/>
      <c r="F11" s="36"/>
    </row>
    <row r="12" spans="2:6" ht="16.2" x14ac:dyDescent="0.25">
      <c r="B12" s="36">
        <v>11</v>
      </c>
      <c r="C12" s="36" t="s">
        <v>153</v>
      </c>
      <c r="D12" s="36" t="s">
        <v>66</v>
      </c>
      <c r="E12" s="36"/>
      <c r="F12" s="36"/>
    </row>
    <row r="13" spans="2:6" ht="16.2" x14ac:dyDescent="0.25">
      <c r="B13" s="36">
        <v>12</v>
      </c>
      <c r="C13" s="36" t="s">
        <v>154</v>
      </c>
      <c r="D13" s="36" t="s">
        <v>142</v>
      </c>
      <c r="E13" s="36"/>
      <c r="F13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2271-58CA-4A5F-884C-837213929745}">
  <dimension ref="B1:F13"/>
  <sheetViews>
    <sheetView workbookViewId="0">
      <selection activeCell="E32" sqref="E32"/>
    </sheetView>
  </sheetViews>
  <sheetFormatPr defaultRowHeight="14.4" x14ac:dyDescent="0.25"/>
  <cols>
    <col min="3" max="3" width="31.109375" customWidth="1"/>
    <col min="4" max="4" width="39.44140625" customWidth="1"/>
  </cols>
  <sheetData>
    <row r="1" spans="2:6" ht="16.2" x14ac:dyDescent="0.25">
      <c r="B1" s="38" t="s">
        <v>82</v>
      </c>
      <c r="C1" s="38" t="s">
        <v>83</v>
      </c>
      <c r="D1" s="38" t="s">
        <v>84</v>
      </c>
      <c r="E1" s="36"/>
      <c r="F1" s="36"/>
    </row>
    <row r="2" spans="2:6" ht="16.2" x14ac:dyDescent="0.25">
      <c r="B2" s="36">
        <v>1</v>
      </c>
      <c r="C2" s="36" t="s">
        <v>105</v>
      </c>
      <c r="D2" s="36" t="s">
        <v>95</v>
      </c>
      <c r="E2" s="36"/>
      <c r="F2" s="36"/>
    </row>
    <row r="3" spans="2:6" ht="16.2" x14ac:dyDescent="0.25">
      <c r="B3" s="36">
        <v>2</v>
      </c>
      <c r="C3" s="36" t="s">
        <v>106</v>
      </c>
      <c r="D3" s="36" t="s">
        <v>96</v>
      </c>
      <c r="E3" s="36"/>
      <c r="F3" s="36"/>
    </row>
    <row r="4" spans="2:6" ht="16.2" x14ac:dyDescent="0.25">
      <c r="B4" s="36">
        <v>3</v>
      </c>
      <c r="C4" s="36" t="s">
        <v>107</v>
      </c>
      <c r="D4" s="36" t="s">
        <v>97</v>
      </c>
      <c r="E4" s="36"/>
      <c r="F4" s="36"/>
    </row>
    <row r="5" spans="2:6" ht="16.2" x14ac:dyDescent="0.25">
      <c r="B5" s="36">
        <v>4</v>
      </c>
      <c r="C5" s="36" t="s">
        <v>108</v>
      </c>
      <c r="D5" s="36" t="s">
        <v>98</v>
      </c>
      <c r="E5" s="36"/>
      <c r="F5" s="36"/>
    </row>
    <row r="6" spans="2:6" ht="16.2" x14ac:dyDescent="0.25">
      <c r="B6" s="36">
        <v>5</v>
      </c>
      <c r="C6" s="36" t="s">
        <v>109</v>
      </c>
      <c r="D6" s="36" t="s">
        <v>99</v>
      </c>
      <c r="E6" s="36"/>
      <c r="F6" s="36"/>
    </row>
    <row r="7" spans="2:6" ht="16.2" x14ac:dyDescent="0.25">
      <c r="B7" s="36">
        <v>6</v>
      </c>
      <c r="C7" s="36" t="s">
        <v>110</v>
      </c>
      <c r="D7" s="36" t="s">
        <v>100</v>
      </c>
      <c r="E7" s="36"/>
      <c r="F7" s="36"/>
    </row>
    <row r="8" spans="2:6" ht="16.2" x14ac:dyDescent="0.25">
      <c r="B8" s="36">
        <v>7</v>
      </c>
      <c r="C8" s="36" t="s">
        <v>111</v>
      </c>
      <c r="D8" s="36" t="s">
        <v>101</v>
      </c>
      <c r="E8" s="36"/>
      <c r="F8" s="36"/>
    </row>
    <row r="9" spans="2:6" ht="16.2" x14ac:dyDescent="0.25">
      <c r="B9" s="36">
        <v>8</v>
      </c>
      <c r="C9" s="36" t="s">
        <v>112</v>
      </c>
      <c r="D9" s="36" t="s">
        <v>102</v>
      </c>
      <c r="E9" s="36"/>
      <c r="F9" s="36"/>
    </row>
    <row r="10" spans="2:6" ht="16.2" x14ac:dyDescent="0.25">
      <c r="B10" s="36">
        <v>9</v>
      </c>
      <c r="C10" s="36" t="s">
        <v>113</v>
      </c>
      <c r="D10" s="36" t="s">
        <v>41</v>
      </c>
      <c r="E10" s="36"/>
      <c r="F10" s="36"/>
    </row>
    <row r="11" spans="2:6" ht="16.2" x14ac:dyDescent="0.25">
      <c r="B11" s="36">
        <v>10</v>
      </c>
      <c r="C11" s="36" t="s">
        <v>114</v>
      </c>
      <c r="D11" s="36" t="s">
        <v>103</v>
      </c>
      <c r="E11" s="36"/>
      <c r="F11" s="36"/>
    </row>
    <row r="12" spans="2:6" ht="16.2" x14ac:dyDescent="0.25">
      <c r="B12" s="36">
        <v>11</v>
      </c>
      <c r="C12" s="36" t="s">
        <v>115</v>
      </c>
      <c r="D12" s="36" t="s">
        <v>43</v>
      </c>
      <c r="E12" s="36"/>
      <c r="F12" s="36"/>
    </row>
    <row r="13" spans="2:6" ht="16.2" x14ac:dyDescent="0.25">
      <c r="B13" s="36">
        <v>12</v>
      </c>
      <c r="C13" s="36" t="s">
        <v>116</v>
      </c>
      <c r="D13" s="36" t="s">
        <v>104</v>
      </c>
      <c r="E13" s="36"/>
      <c r="F13" s="3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CBD4-5B07-4224-996E-5E0149DDD138}">
  <dimension ref="C1:T6"/>
  <sheetViews>
    <sheetView workbookViewId="0">
      <selection activeCell="H17" sqref="H17"/>
    </sheetView>
  </sheetViews>
  <sheetFormatPr defaultRowHeight="14.4" x14ac:dyDescent="0.25"/>
  <sheetData>
    <row r="1" spans="3:20" x14ac:dyDescent="0.25">
      <c r="C1" t="s">
        <v>9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8</v>
      </c>
      <c r="P1" t="s">
        <v>10</v>
      </c>
      <c r="Q1" t="s">
        <v>12</v>
      </c>
      <c r="R1" t="s">
        <v>13</v>
      </c>
      <c r="S1" t="s">
        <v>14</v>
      </c>
      <c r="T1" t="s">
        <v>15</v>
      </c>
    </row>
    <row r="2" spans="3:20" x14ac:dyDescent="0.25">
      <c r="C2" s="6"/>
      <c r="D2" s="6"/>
      <c r="E2" s="6"/>
      <c r="J2" s="8" t="s">
        <v>6</v>
      </c>
      <c r="K2" s="9"/>
      <c r="L2" s="9"/>
      <c r="M2" s="9"/>
      <c r="N2" s="9"/>
      <c r="O2" s="9"/>
      <c r="P2" s="9"/>
      <c r="Q2" s="9"/>
      <c r="R2" s="9"/>
      <c r="S2" s="9"/>
    </row>
    <row r="3" spans="3:20" x14ac:dyDescent="0.25">
      <c r="C3" s="42"/>
      <c r="D3" s="42"/>
      <c r="E3" s="42"/>
      <c r="F3" s="42"/>
      <c r="L3" s="10" t="s">
        <v>5</v>
      </c>
      <c r="M3" s="10"/>
      <c r="N3" s="10"/>
      <c r="O3" s="10"/>
      <c r="P3" s="10"/>
      <c r="Q3" s="10"/>
      <c r="R3" s="10"/>
    </row>
    <row r="4" spans="3:20" x14ac:dyDescent="0.25">
      <c r="C4" s="11"/>
      <c r="D4" s="12"/>
      <c r="E4" s="12"/>
      <c r="F4" s="11"/>
      <c r="L4" s="11" t="s">
        <v>4</v>
      </c>
      <c r="M4" s="12"/>
      <c r="N4" s="12"/>
      <c r="O4" s="12"/>
      <c r="P4" s="12"/>
      <c r="Q4" s="12"/>
      <c r="R4" s="12"/>
    </row>
    <row r="5" spans="3:20" x14ac:dyDescent="0.25">
      <c r="C5" s="7"/>
      <c r="K5" s="13" t="s">
        <v>3</v>
      </c>
      <c r="L5" s="14"/>
      <c r="M5" s="14"/>
      <c r="N5" s="14"/>
      <c r="O5" s="14"/>
    </row>
    <row r="6" spans="3:20" x14ac:dyDescent="0.25">
      <c r="F6" s="21" t="s">
        <v>2</v>
      </c>
      <c r="G6" s="22"/>
      <c r="H6" s="22"/>
      <c r="I6" s="22"/>
      <c r="J6" s="22"/>
      <c r="K6" s="22"/>
    </row>
  </sheetData>
  <mergeCells count="1">
    <mergeCell ref="C3:F3"/>
  </mergeCells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各盟选秀顺位</vt:lpstr>
      <vt:lpstr>组队赛花名册</vt:lpstr>
      <vt:lpstr>组队赛各盟链接</vt:lpstr>
      <vt:lpstr>组队赛计分</vt:lpstr>
      <vt:lpstr>各盟选秀结果链接</vt:lpstr>
      <vt:lpstr>NFL项选秀首轮</vt:lpstr>
      <vt:lpstr>NBA项选秀首轮</vt:lpstr>
      <vt:lpstr>EPL项选秀首轮</vt:lpstr>
      <vt:lpstr>NHL项选秀首轮</vt:lpstr>
      <vt:lpstr>赛程提醒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ZiYuan Tang</cp:lastModifiedBy>
  <dcterms:created xsi:type="dcterms:W3CDTF">2019-12-29T11:45:33Z</dcterms:created>
  <dcterms:modified xsi:type="dcterms:W3CDTF">2026-01-11T03:35:24Z</dcterms:modified>
</cp:coreProperties>
</file>