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ronman\"/>
    </mc:Choice>
  </mc:AlternateContent>
  <xr:revisionPtr revIDLastSave="0" documentId="13_ncr:1_{CC9F4457-1D4F-4712-A688-4F7E9CEA324C}" xr6:coauthVersionLast="47" xr6:coauthVersionMax="47" xr10:uidLastSave="{00000000-0000-0000-0000-000000000000}"/>
  <bookViews>
    <workbookView xWindow="3936" yWindow="2112" windowWidth="21336" windowHeight="12216" activeTab="2" xr2:uid="{00000000-000D-0000-FFFF-FFFF00000000}"/>
  </bookViews>
  <sheets>
    <sheet name="个人赛花名册" sheetId="17" r:id="rId1"/>
    <sheet name="个人赛赛各盟链接" sheetId="16" r:id="rId2"/>
    <sheet name="个人赛计分 " sheetId="13" r:id="rId3"/>
    <sheet name="选秀顺位" sheetId="10" r:id="rId4"/>
    <sheet name="各盟选秀结果链接" sheetId="20" r:id="rId5"/>
    <sheet name="NFL项选秀首轮" sheetId="21" r:id="rId6"/>
    <sheet name="NHL项选秀首轮" sheetId="19" r:id="rId7"/>
    <sheet name="NBA项选秀首轮" sheetId="18" r:id="rId8"/>
    <sheet name="赛程提醒" sheetId="7" r:id="rId9"/>
  </sheets>
  <calcPr calcId="191029"/>
</workbook>
</file>

<file path=xl/calcChain.xml><?xml version="1.0" encoding="utf-8"?>
<calcChain xmlns="http://schemas.openxmlformats.org/spreadsheetml/2006/main">
  <c r="L4" i="13" l="1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G18" i="13" s="1"/>
  <c r="L19" i="13"/>
  <c r="G19" i="13" s="1"/>
  <c r="I11" i="13"/>
  <c r="I12" i="13"/>
  <c r="I13" i="13"/>
  <c r="I14" i="13"/>
  <c r="I15" i="13"/>
  <c r="I16" i="13"/>
  <c r="I17" i="13"/>
  <c r="I19" i="13"/>
  <c r="I4" i="13"/>
  <c r="I5" i="13"/>
  <c r="I6" i="13"/>
  <c r="I7" i="13"/>
  <c r="I8" i="13"/>
  <c r="I10" i="13"/>
  <c r="G17" i="13" l="1"/>
  <c r="G16" i="13"/>
  <c r="R5" i="13"/>
  <c r="R6" i="13"/>
  <c r="R7" i="13"/>
  <c r="R8" i="13"/>
  <c r="R9" i="13"/>
  <c r="R10" i="13"/>
  <c r="R11" i="13"/>
  <c r="R12" i="13"/>
  <c r="R13" i="13"/>
  <c r="R14" i="13"/>
  <c r="R15" i="13"/>
  <c r="R4" i="13"/>
  <c r="O5" i="13"/>
  <c r="O6" i="13"/>
  <c r="O7" i="13"/>
  <c r="O8" i="13"/>
  <c r="O9" i="13"/>
  <c r="O10" i="13"/>
  <c r="O11" i="13"/>
  <c r="O12" i="13"/>
  <c r="O13" i="13"/>
  <c r="O14" i="13"/>
  <c r="O15" i="13"/>
  <c r="O4" i="13"/>
  <c r="G11" i="13"/>
  <c r="G12" i="13"/>
  <c r="G15" i="13"/>
  <c r="G10" i="13" l="1"/>
  <c r="G8" i="13"/>
  <c r="G4" i="13"/>
  <c r="G9" i="13"/>
  <c r="G6" i="13"/>
  <c r="G14" i="13"/>
  <c r="G13" i="13"/>
  <c r="G5" i="13"/>
  <c r="G7" i="13"/>
  <c r="F18" i="13" l="1"/>
  <c r="F8" i="13"/>
  <c r="F9" i="13"/>
  <c r="F17" i="13"/>
  <c r="F7" i="13"/>
  <c r="F5" i="13"/>
  <c r="F6" i="13"/>
  <c r="F4" i="13"/>
  <c r="F13" i="13"/>
  <c r="F10" i="13"/>
  <c r="F12" i="13"/>
  <c r="F11" i="13"/>
  <c r="F19" i="13"/>
  <c r="F15" i="13"/>
  <c r="F14" i="13"/>
  <c r="F16" i="13"/>
</calcChain>
</file>

<file path=xl/sharedStrings.xml><?xml version="1.0" encoding="utf-8"?>
<sst xmlns="http://schemas.openxmlformats.org/spreadsheetml/2006/main" count="274" uniqueCount="163">
  <si>
    <t>MLB项</t>
    <phoneticPr fontId="2" type="noConversion"/>
  </si>
  <si>
    <t>NHL项</t>
    <phoneticPr fontId="2" type="noConversion"/>
  </si>
  <si>
    <t>NBA项</t>
    <phoneticPr fontId="2" type="noConversion"/>
  </si>
  <si>
    <t>NFL项</t>
    <phoneticPr fontId="2" type="noConversion"/>
  </si>
  <si>
    <t>计分</t>
    <phoneticPr fontId="2" type="noConversion"/>
  </si>
  <si>
    <t>MLB</t>
    <phoneticPr fontId="2" type="noConversion"/>
  </si>
  <si>
    <t>NFL</t>
    <phoneticPr fontId="2" type="noConversion"/>
  </si>
  <si>
    <t>NHL</t>
    <phoneticPr fontId="2" type="noConversion"/>
  </si>
  <si>
    <t>NBA</t>
    <phoneticPr fontId="2" type="noConversion"/>
  </si>
  <si>
    <t>EPL</t>
    <phoneticPr fontId="2" type="noConversion"/>
  </si>
  <si>
    <t>总分</t>
    <phoneticPr fontId="2" type="noConversion"/>
  </si>
  <si>
    <t>启诚</t>
    <phoneticPr fontId="2" type="noConversion"/>
  </si>
  <si>
    <t>启诚</t>
  </si>
  <si>
    <t>一月</t>
  </si>
  <si>
    <t>一月</t>
    <phoneticPr fontId="2" type="noConversion"/>
  </si>
  <si>
    <t>二月</t>
  </si>
  <si>
    <t>二月</t>
    <phoneticPr fontId="2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</si>
  <si>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</si>
  <si>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</si>
  <si>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</si>
  <si>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</si>
  <si>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</si>
  <si>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</si>
  <si>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</si>
  <si>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</si>
  <si>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</si>
  <si>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</si>
  <si>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常规赛</t>
    <phoneticPr fontId="2" type="noConversion"/>
  </si>
  <si>
    <t>季后赛</t>
    <phoneticPr fontId="2" type="noConversion"/>
  </si>
  <si>
    <t>MLB</t>
  </si>
  <si>
    <t>NBA</t>
  </si>
  <si>
    <t>实力榜</t>
    <phoneticPr fontId="2" type="noConversion"/>
  </si>
  <si>
    <t>铁人个人赛</t>
    <phoneticPr fontId="2" type="noConversion"/>
  </si>
  <si>
    <t>排名</t>
  </si>
  <si>
    <t>季后赛1</t>
    <phoneticPr fontId="2" type="noConversion"/>
  </si>
  <si>
    <t>季后赛2</t>
    <phoneticPr fontId="2" type="noConversion"/>
  </si>
  <si>
    <t>季后赛3</t>
    <phoneticPr fontId="2" type="noConversion"/>
  </si>
  <si>
    <t>最终采用</t>
    <phoneticPr fontId="2" type="noConversion"/>
  </si>
  <si>
    <t>forevergo</t>
    <phoneticPr fontId="2" type="noConversion"/>
  </si>
  <si>
    <t>金杯</t>
    <phoneticPr fontId="2" type="noConversion"/>
  </si>
  <si>
    <t>Yoda Master</t>
    <phoneticPr fontId="2" type="noConversion"/>
  </si>
  <si>
    <t>鹏仔</t>
    <phoneticPr fontId="2" type="noConversion"/>
  </si>
  <si>
    <t>Patricia</t>
    <phoneticPr fontId="2" type="noConversion"/>
  </si>
  <si>
    <t>Bee</t>
    <phoneticPr fontId="2" type="noConversion"/>
  </si>
  <si>
    <t>Dannyyyyy</t>
    <phoneticPr fontId="2" type="noConversion"/>
  </si>
  <si>
    <t>Richard</t>
    <phoneticPr fontId="2" type="noConversion"/>
  </si>
  <si>
    <t>zeitgeist</t>
    <phoneticPr fontId="2" type="noConversion"/>
  </si>
  <si>
    <t>GuSone</t>
    <phoneticPr fontId="2" type="noConversion"/>
  </si>
  <si>
    <t>Haze</t>
    <phoneticPr fontId="2" type="noConversion"/>
  </si>
  <si>
    <t>蛋蛋</t>
    <phoneticPr fontId="2" type="noConversion"/>
  </si>
  <si>
    <t>Zima</t>
    <phoneticPr fontId="2" type="noConversion"/>
  </si>
  <si>
    <t>Wolfpack</t>
    <phoneticPr fontId="2" type="noConversion"/>
  </si>
  <si>
    <t>季后赛4</t>
    <phoneticPr fontId="2" type="noConversion"/>
  </si>
  <si>
    <t>季后赛5</t>
    <phoneticPr fontId="2" type="noConversion"/>
  </si>
  <si>
    <t>老王</t>
    <phoneticPr fontId="2" type="noConversion"/>
  </si>
  <si>
    <t>玩家</t>
    <phoneticPr fontId="2" type="noConversion"/>
  </si>
  <si>
    <t>Zima</t>
  </si>
  <si>
    <t>forevergo</t>
  </si>
  <si>
    <t>鹏仔</t>
  </si>
  <si>
    <t>金杯</t>
  </si>
  <si>
    <t>Dannyyyyy</t>
  </si>
  <si>
    <t>Richard</t>
  </si>
  <si>
    <t>Patricia</t>
  </si>
  <si>
    <t>Yoda Master</t>
  </si>
  <si>
    <t>Haze</t>
  </si>
  <si>
    <t>zeitgeist</t>
  </si>
  <si>
    <t>Bee</t>
  </si>
  <si>
    <t>Wolfpack</t>
  </si>
  <si>
    <t>GuSone</t>
  </si>
  <si>
    <t>老王</t>
  </si>
  <si>
    <t>蛋蛋</t>
  </si>
  <si>
    <t>链接</t>
    <phoneticPr fontId="2" type="noConversion"/>
  </si>
  <si>
    <t>雅虎已关闭，https://baseball.fantasysports.yahoo.com/b1/95524</t>
    <phoneticPr fontId="2" type="noConversion"/>
  </si>
  <si>
    <t>https://football.fantasysports.yahoo.com/f1/745126</t>
  </si>
  <si>
    <t>https://hockey.fantasysports.yahoo.com/hockey/100238/</t>
  </si>
  <si>
    <t>https://basketball.fantasysports.yahoo.com/nba/68792/</t>
  </si>
  <si>
    <t>铁人个人赛分盟</t>
    <phoneticPr fontId="2" type="noConversion"/>
  </si>
  <si>
    <t>GuSone-15</t>
  </si>
  <si>
    <t>HAZEokc</t>
  </si>
  <si>
    <t>启诚's Won...</t>
  </si>
  <si>
    <t>王's Specta...</t>
  </si>
  <si>
    <t>Zeitgeist</t>
  </si>
  <si>
    <t>M.Yoda™</t>
  </si>
  <si>
    <t>義無反顧...</t>
  </si>
  <si>
    <t>Iron Danny</t>
  </si>
  <si>
    <t>金杯's Ple...</t>
  </si>
  <si>
    <t>剿虾驻津...</t>
  </si>
  <si>
    <t>forevergo's ...</t>
  </si>
  <si>
    <t>铁人烟</t>
  </si>
  <si>
    <r>
      <t>Nikola Joki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3"/>
        <charset val="134"/>
        <scheme val="minor"/>
      </rPr>
      <t>(DEN - C)</t>
    </r>
  </si>
  <si>
    <r>
      <t>Shai Gilgeous-Alexander</t>
    </r>
    <r>
      <rPr>
        <sz val="11"/>
        <color theme="1"/>
        <rFont val="宋体"/>
        <family val="3"/>
        <charset val="134"/>
        <scheme val="minor"/>
      </rPr>
      <t>(OKC - PG)</t>
    </r>
  </si>
  <si>
    <r>
      <t>Victor Wembanyama</t>
    </r>
    <r>
      <rPr>
        <sz val="11"/>
        <color theme="1"/>
        <rFont val="宋体"/>
        <family val="3"/>
        <charset val="134"/>
        <scheme val="minor"/>
      </rPr>
      <t>(SAS - PF,C)</t>
    </r>
  </si>
  <si>
    <r>
      <t>Luka Don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3"/>
        <charset val="134"/>
        <scheme val="minor"/>
      </rPr>
      <t>(LAL - PG,SG)</t>
    </r>
  </si>
  <si>
    <r>
      <t>Giannis Antetokounmpo</t>
    </r>
    <r>
      <rPr>
        <sz val="11"/>
        <color theme="1"/>
        <rFont val="宋体"/>
        <family val="3"/>
        <charset val="134"/>
        <scheme val="minor"/>
      </rPr>
      <t>(MIL - PF,C)</t>
    </r>
  </si>
  <si>
    <r>
      <t>Cade Cunningham</t>
    </r>
    <r>
      <rPr>
        <sz val="11"/>
        <color theme="1"/>
        <rFont val="宋体"/>
        <family val="3"/>
        <charset val="134"/>
        <scheme val="minor"/>
      </rPr>
      <t>(DET - PG,SG)</t>
    </r>
  </si>
  <si>
    <r>
      <t>Domantas Sabonis</t>
    </r>
    <r>
      <rPr>
        <sz val="11"/>
        <color theme="1"/>
        <rFont val="宋体"/>
        <family val="3"/>
        <charset val="134"/>
        <scheme val="minor"/>
      </rPr>
      <t>(SAC - C)</t>
    </r>
  </si>
  <si>
    <r>
      <t>Anthony Davis</t>
    </r>
    <r>
      <rPr>
        <sz val="11"/>
        <color theme="1"/>
        <rFont val="宋体"/>
        <family val="3"/>
        <charset val="134"/>
        <scheme val="minor"/>
      </rPr>
      <t>(DAL - PF,C)</t>
    </r>
  </si>
  <si>
    <r>
      <t>Amen Thompson</t>
    </r>
    <r>
      <rPr>
        <sz val="11"/>
        <color theme="1"/>
        <rFont val="宋体"/>
        <family val="3"/>
        <charset val="134"/>
        <scheme val="minor"/>
      </rPr>
      <t>(HOU - PG,SG,SF)</t>
    </r>
  </si>
  <si>
    <r>
      <t>Anthony Edwards</t>
    </r>
    <r>
      <rPr>
        <sz val="11"/>
        <color theme="1"/>
        <rFont val="宋体"/>
        <family val="3"/>
        <charset val="134"/>
        <scheme val="minor"/>
      </rPr>
      <t>(MIN - PG,SG)</t>
    </r>
  </si>
  <si>
    <r>
      <t>Trae Young</t>
    </r>
    <r>
      <rPr>
        <sz val="11"/>
        <color theme="1"/>
        <rFont val="宋体"/>
        <family val="3"/>
        <charset val="134"/>
        <scheme val="minor"/>
      </rPr>
      <t>(WAS - PG)</t>
    </r>
  </si>
  <si>
    <r>
      <t>Devin Booker</t>
    </r>
    <r>
      <rPr>
        <sz val="11"/>
        <color theme="1"/>
        <rFont val="宋体"/>
        <family val="3"/>
        <charset val="134"/>
        <scheme val="minor"/>
      </rPr>
      <t>(PHX - PG,SG)</t>
    </r>
  </si>
  <si>
    <r>
      <t>James Harden</t>
    </r>
    <r>
      <rPr>
        <sz val="11"/>
        <color theme="1"/>
        <rFont val="宋体"/>
        <family val="3"/>
        <charset val="134"/>
        <scheme val="minor"/>
      </rPr>
      <t>(LAC - PG,SG)</t>
    </r>
  </si>
  <si>
    <r>
      <t>Karl-Anthony Towns</t>
    </r>
    <r>
      <rPr>
        <sz val="11"/>
        <color theme="1"/>
        <rFont val="宋体"/>
        <family val="3"/>
        <charset val="134"/>
        <scheme val="minor"/>
      </rPr>
      <t>(NYK - PF,C)</t>
    </r>
  </si>
  <si>
    <r>
      <t>Alperen Sengun</t>
    </r>
    <r>
      <rPr>
        <sz val="11"/>
        <color theme="1"/>
        <rFont val="宋体"/>
        <family val="3"/>
        <charset val="134"/>
        <scheme val="minor"/>
      </rPr>
      <t>(HOU - PF,C)</t>
    </r>
  </si>
  <si>
    <r>
      <t>Stephen Curry</t>
    </r>
    <r>
      <rPr>
        <sz val="11"/>
        <color theme="1"/>
        <rFont val="宋体"/>
        <family val="3"/>
        <charset val="134"/>
        <scheme val="minor"/>
      </rPr>
      <t>(GSW - PG)</t>
    </r>
  </si>
  <si>
    <t>forevergo's ...</t>
    <phoneticPr fontId="2" type="noConversion"/>
  </si>
  <si>
    <t>选秀首轮顺位</t>
    <phoneticPr fontId="2" type="noConversion"/>
  </si>
  <si>
    <t>球员</t>
    <phoneticPr fontId="2" type="noConversion"/>
  </si>
  <si>
    <t>首轮顺位</t>
    <phoneticPr fontId="2" type="noConversion"/>
  </si>
  <si>
    <t>玩家队名</t>
    <phoneticPr fontId="2" type="noConversion"/>
  </si>
  <si>
    <t>日天吃烤...</t>
  </si>
  <si>
    <t>金杯's Exp...</t>
  </si>
  <si>
    <t>shuai's Bril...</t>
  </si>
  <si>
    <t>启诚's Nic...</t>
  </si>
  <si>
    <t>Zima's Unmat...</t>
  </si>
  <si>
    <t>槑皇小弟</t>
  </si>
  <si>
    <t>王's Optima...</t>
  </si>
  <si>
    <t>Connor McDavid(EDM - C)</t>
  </si>
  <si>
    <t>Nathan MacKinnon(COL - C)</t>
  </si>
  <si>
    <t>Nikita Kucherov(TB - RW)</t>
  </si>
  <si>
    <t>Leon Draisaitl(EDM - C,LW)</t>
  </si>
  <si>
    <t>Auston Matthews(TOR - C)</t>
  </si>
  <si>
    <t>Cale Makar(COL - D)</t>
  </si>
  <si>
    <t>Kirill Kaprizov(MIN - LW)</t>
  </si>
  <si>
    <t>David Pastrnak(BOS - RW)</t>
  </si>
  <si>
    <t>Mikko Rantanen(DAL - LW,RW)</t>
  </si>
  <si>
    <t>Brady Tkachuk(OTT - C,LW)</t>
  </si>
  <si>
    <t>Connor Hellebuyck(WPG - G)</t>
  </si>
  <si>
    <t>Kyle Connor(WPG - LW)</t>
  </si>
  <si>
    <t>Jack Eichel(VGK - C)</t>
  </si>
  <si>
    <t>Quinn Hughes(MIN - D)</t>
  </si>
  <si>
    <t>William Nylander(TOR - C,RW)</t>
  </si>
  <si>
    <t>Zach Werenski(CBJ - D)</t>
  </si>
  <si>
    <t>https://hockey.fantasysports.yahoo.com/hockey/100238/draftresults</t>
  </si>
  <si>
    <t>https://basketball.fantasysports.yahoo.com/nba/68792/draftresults</t>
  </si>
  <si>
    <t>铁人个人赛NHL项选秀结果链接</t>
    <phoneticPr fontId="2" type="noConversion"/>
  </si>
  <si>
    <t>铁人个人赛NBA项选秀结果链接</t>
    <phoneticPr fontId="2" type="noConversion"/>
  </si>
  <si>
    <t>https://football.fantasysports.yahoo.com/f1/745126/draftresults</t>
  </si>
  <si>
    <t>铁人个人赛NFL项选秀结果链接</t>
    <phoneticPr fontId="2" type="noConversion"/>
  </si>
  <si>
    <t>槑姐商务...</t>
  </si>
  <si>
    <t>Slippery shuai</t>
  </si>
  <si>
    <t>铁人鹏</t>
  </si>
  <si>
    <t>Zima's Ingen...</t>
  </si>
  <si>
    <t>启诚's Off...</t>
  </si>
  <si>
    <t>狗虾不玩...</t>
  </si>
  <si>
    <t>Soft Hands 王</t>
  </si>
  <si>
    <t>Hazebrady</t>
  </si>
  <si>
    <t>Ja'Marr Chase(Cin - WR)</t>
  </si>
  <si>
    <t>Bijan Robinson(Atl - RB)</t>
  </si>
  <si>
    <t>Saquon Barkley(Phi - RB)</t>
  </si>
  <si>
    <t>Jahmyr Gibbs(Det - RB)</t>
  </si>
  <si>
    <t>CeeDee Lamb(Dal - WR)</t>
  </si>
  <si>
    <t>Christian McCaffrey(SF - RB)</t>
  </si>
  <si>
    <t>Derrick Henry(Bal - RB)</t>
  </si>
  <si>
    <t>Justin Jefferson(Min - WR)</t>
  </si>
  <si>
    <t>Amon-Ra St. Brown(Det - WR)</t>
  </si>
  <si>
    <t>Nico Collins(Hou - WR)</t>
  </si>
  <si>
    <t>A.J. Brown(Phi - WR)</t>
  </si>
  <si>
    <t>Malik Nabers(NYG - WR)</t>
  </si>
  <si>
    <t>Jonathan Taylor(Ind - RB)</t>
  </si>
  <si>
    <t>Drake London(Atl - WR)</t>
  </si>
  <si>
    <t>Puka Nacua(LAR - WR)</t>
  </si>
  <si>
    <t>Ashton Jeanty(LV - RB)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</si>
</sst>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DA2128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E3192"/>
        <bgColor indexed="64"/>
      </patternFill>
    </fill>
    <fill>
      <patternFill patternType="solid">
        <fgColor rgb="FF041E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10" borderId="0" xfId="0" applyFill="1">
      <alignment vertical="center"/>
    </xf>
    <xf numFmtId="0" fontId="0" fillId="13" borderId="0" xfId="0" applyFill="1">
      <alignment vertical="center"/>
    </xf>
    <xf numFmtId="0" fontId="6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6" fillId="11" borderId="0" xfId="0" applyFont="1" applyFill="1">
      <alignment vertical="center"/>
    </xf>
    <xf numFmtId="0" fontId="6" fillId="12" borderId="0" xfId="0" applyFont="1" applyFill="1">
      <alignment vertical="center"/>
    </xf>
    <xf numFmtId="0" fontId="4" fillId="12" borderId="0" xfId="0" applyFont="1" applyFill="1">
      <alignment vertical="center"/>
    </xf>
    <xf numFmtId="0" fontId="6" fillId="13" borderId="0" xfId="0" applyFont="1" applyFill="1">
      <alignment vertical="center"/>
    </xf>
    <xf numFmtId="0" fontId="4" fillId="13" borderId="0" xfId="0" applyFont="1" applyFill="1">
      <alignment vertical="center"/>
    </xf>
    <xf numFmtId="0" fontId="6" fillId="14" borderId="0" xfId="0" applyFont="1" applyFill="1">
      <alignment vertical="center"/>
    </xf>
    <xf numFmtId="0" fontId="4" fillId="14" borderId="0" xfId="0" applyFont="1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>
      <alignment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9" fillId="9" borderId="1" xfId="0" applyFont="1" applyFill="1" applyBorder="1">
      <alignment vertical="center"/>
    </xf>
    <xf numFmtId="0" fontId="9" fillId="9" borderId="1" xfId="0" applyFont="1" applyFill="1" applyBorder="1" applyAlignment="1">
      <alignment horizontal="center" vertical="center"/>
    </xf>
    <xf numFmtId="0" fontId="9" fillId="5" borderId="1" xfId="0" applyFont="1" applyFill="1" applyBorder="1">
      <alignment vertical="center"/>
    </xf>
    <xf numFmtId="0" fontId="9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A2128"/>
      <color rgb="FF111111"/>
      <color rgb="FF041E42"/>
      <color rgb="FF37003C"/>
      <color rgb="FF2E3192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83B0-973F-4B84-8FAF-15CC0CCE189D}">
  <dimension ref="C1:D33"/>
  <sheetViews>
    <sheetView workbookViewId="0">
      <selection activeCell="C25" sqref="C25"/>
    </sheetView>
  </sheetViews>
  <sheetFormatPr defaultRowHeight="14.4" x14ac:dyDescent="0.25"/>
  <cols>
    <col min="3" max="3" width="26.6640625" customWidth="1"/>
    <col min="4" max="4" width="15.6640625" customWidth="1"/>
  </cols>
  <sheetData>
    <row r="1" spans="3:4" x14ac:dyDescent="0.25">
      <c r="C1" s="2" t="s">
        <v>32</v>
      </c>
      <c r="D1" s="3"/>
    </row>
    <row r="2" spans="3:4" ht="16.2" x14ac:dyDescent="0.25">
      <c r="C2" s="24" t="s">
        <v>47</v>
      </c>
      <c r="D2" s="3"/>
    </row>
    <row r="3" spans="3:4" ht="16.2" x14ac:dyDescent="0.25">
      <c r="C3" s="24" t="s">
        <v>50</v>
      </c>
      <c r="D3" s="3"/>
    </row>
    <row r="4" spans="3:4" ht="16.2" x14ac:dyDescent="0.25">
      <c r="C4" s="24" t="s">
        <v>48</v>
      </c>
      <c r="D4" s="3"/>
    </row>
    <row r="5" spans="3:4" ht="16.2" x14ac:dyDescent="0.25">
      <c r="C5" s="23" t="s">
        <v>11</v>
      </c>
      <c r="D5" s="3"/>
    </row>
    <row r="6" spans="3:4" ht="16.2" x14ac:dyDescent="0.25">
      <c r="C6" s="23" t="s">
        <v>40</v>
      </c>
      <c r="D6" s="3"/>
    </row>
    <row r="7" spans="3:4" ht="16.2" x14ac:dyDescent="0.25">
      <c r="C7" s="24" t="s">
        <v>45</v>
      </c>
      <c r="D7" s="3"/>
    </row>
    <row r="8" spans="3:4" ht="16.2" x14ac:dyDescent="0.25">
      <c r="C8" s="23" t="s">
        <v>38</v>
      </c>
      <c r="D8" s="3"/>
    </row>
    <row r="9" spans="3:4" ht="16.2" x14ac:dyDescent="0.25">
      <c r="C9" s="24" t="s">
        <v>54</v>
      </c>
      <c r="D9" s="3"/>
    </row>
    <row r="10" spans="3:4" ht="16.2" x14ac:dyDescent="0.25">
      <c r="C10" s="24" t="s">
        <v>41</v>
      </c>
      <c r="D10" s="3"/>
    </row>
    <row r="11" spans="3:4" ht="16.2" x14ac:dyDescent="0.25">
      <c r="C11" s="24" t="s">
        <v>51</v>
      </c>
      <c r="D11" s="3"/>
    </row>
    <row r="12" spans="3:4" ht="16.2" x14ac:dyDescent="0.25">
      <c r="C12" s="23" t="s">
        <v>49</v>
      </c>
      <c r="D12" s="3"/>
    </row>
    <row r="13" spans="3:4" ht="16.2" x14ac:dyDescent="0.25">
      <c r="C13" s="23" t="s">
        <v>44</v>
      </c>
      <c r="D13" s="3"/>
    </row>
    <row r="14" spans="3:4" ht="16.2" x14ac:dyDescent="0.25">
      <c r="C14" s="24" t="s">
        <v>46</v>
      </c>
      <c r="D14" s="3"/>
    </row>
    <row r="15" spans="3:4" ht="16.2" x14ac:dyDescent="0.25">
      <c r="C15" s="23" t="s">
        <v>42</v>
      </c>
      <c r="D15" s="3"/>
    </row>
    <row r="16" spans="3:4" ht="16.2" x14ac:dyDescent="0.25">
      <c r="C16" s="24" t="s">
        <v>39</v>
      </c>
      <c r="D16" s="3"/>
    </row>
    <row r="17" spans="3:4" ht="16.2" x14ac:dyDescent="0.25">
      <c r="C17" s="23" t="s">
        <v>43</v>
      </c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C181-3D69-4342-8FD7-111FFCB115AA}">
  <dimension ref="A1:B5"/>
  <sheetViews>
    <sheetView workbookViewId="0">
      <selection activeCell="C14" sqref="C14"/>
    </sheetView>
  </sheetViews>
  <sheetFormatPr defaultRowHeight="14.4" x14ac:dyDescent="0.25"/>
  <cols>
    <col min="1" max="1" width="13.21875" customWidth="1"/>
  </cols>
  <sheetData>
    <row r="1" spans="1:2" x14ac:dyDescent="0.25">
      <c r="A1" t="s">
        <v>76</v>
      </c>
      <c r="B1" t="s">
        <v>71</v>
      </c>
    </row>
    <row r="2" spans="1:2" x14ac:dyDescent="0.25">
      <c r="A2" t="s">
        <v>6</v>
      </c>
      <c r="B2" t="s">
        <v>73</v>
      </c>
    </row>
    <row r="3" spans="1:2" x14ac:dyDescent="0.25">
      <c r="A3" t="s">
        <v>8</v>
      </c>
      <c r="B3" t="s">
        <v>75</v>
      </c>
    </row>
    <row r="4" spans="1:2" x14ac:dyDescent="0.25">
      <c r="A4" t="s">
        <v>7</v>
      </c>
      <c r="B4" t="s">
        <v>74</v>
      </c>
    </row>
    <row r="5" spans="1:2" x14ac:dyDescent="0.25">
      <c r="A5" t="s">
        <v>5</v>
      </c>
      <c r="B5" t="s">
        <v>72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937B-3D1E-4C7E-AD6C-AC5B90002292}">
  <dimension ref="A2:S25"/>
  <sheetViews>
    <sheetView tabSelected="1" workbookViewId="0">
      <selection activeCell="B26" sqref="B26"/>
    </sheetView>
  </sheetViews>
  <sheetFormatPr defaultRowHeight="14.4" x14ac:dyDescent="0.25"/>
  <cols>
    <col min="1" max="1" width="9.44140625" customWidth="1"/>
    <col min="3" max="3" width="4.88671875" customWidth="1"/>
    <col min="4" max="4" width="3.33203125" customWidth="1"/>
    <col min="5" max="5" width="24.77734375" customWidth="1"/>
    <col min="6" max="7" width="7.77734375" customWidth="1"/>
    <col min="8" max="19" width="6.21875" customWidth="1"/>
  </cols>
  <sheetData>
    <row r="2" spans="1:19" ht="17.25" customHeight="1" x14ac:dyDescent="0.25">
      <c r="A2" s="35" t="s">
        <v>27</v>
      </c>
      <c r="B2" s="36" t="s">
        <v>4</v>
      </c>
      <c r="C2" s="3"/>
      <c r="E2" s="39" t="s">
        <v>55</v>
      </c>
      <c r="F2" s="40" t="s">
        <v>31</v>
      </c>
      <c r="G2" s="41" t="s">
        <v>10</v>
      </c>
      <c r="H2" s="25"/>
      <c r="I2" s="26" t="s">
        <v>29</v>
      </c>
      <c r="J2" s="25"/>
      <c r="K2" s="19"/>
      <c r="L2" s="27" t="s">
        <v>6</v>
      </c>
      <c r="M2" s="28"/>
      <c r="N2" s="29"/>
      <c r="O2" s="30" t="s">
        <v>7</v>
      </c>
      <c r="P2" s="29"/>
      <c r="Q2" s="31"/>
      <c r="R2" s="32" t="s">
        <v>30</v>
      </c>
      <c r="S2" s="31"/>
    </row>
    <row r="3" spans="1:19" ht="17.25" customHeight="1" x14ac:dyDescent="0.25">
      <c r="A3" s="33" t="s">
        <v>33</v>
      </c>
      <c r="B3" s="37" t="s">
        <v>37</v>
      </c>
      <c r="C3" s="3"/>
      <c r="E3" s="39"/>
      <c r="F3" s="40"/>
      <c r="G3" s="41"/>
      <c r="H3" s="33" t="s">
        <v>27</v>
      </c>
      <c r="I3" s="33" t="s">
        <v>4</v>
      </c>
      <c r="J3" s="34" t="s">
        <v>28</v>
      </c>
      <c r="K3" s="33" t="s">
        <v>27</v>
      </c>
      <c r="L3" s="33" t="s">
        <v>4</v>
      </c>
      <c r="M3" s="34" t="s">
        <v>28</v>
      </c>
      <c r="N3" s="33" t="s">
        <v>27</v>
      </c>
      <c r="O3" s="33" t="s">
        <v>4</v>
      </c>
      <c r="P3" s="34" t="s">
        <v>28</v>
      </c>
      <c r="Q3" s="33" t="s">
        <v>27</v>
      </c>
      <c r="R3" s="33" t="s">
        <v>4</v>
      </c>
      <c r="S3" s="34" t="s">
        <v>28</v>
      </c>
    </row>
    <row r="4" spans="1:19" ht="17.25" customHeight="1" x14ac:dyDescent="0.25">
      <c r="A4" s="20">
        <v>1</v>
      </c>
      <c r="B4" s="20">
        <v>16</v>
      </c>
      <c r="C4" s="3"/>
      <c r="E4" s="24" t="s">
        <v>47</v>
      </c>
      <c r="F4" s="4">
        <f>RANK(G4,$G$4:$G$19,0)</f>
        <v>14</v>
      </c>
      <c r="G4" s="4">
        <f>SUM($I4,$L4,$O4,$R4,$J4,$M4,$P4,$S4,)</f>
        <v>7</v>
      </c>
      <c r="H4" s="1">
        <v>12</v>
      </c>
      <c r="I4" s="1">
        <f t="shared" ref="I4:I19" si="0">IFERROR(VLOOKUP(H4,$A$4:$B$19,2,0),"")</f>
        <v>5</v>
      </c>
      <c r="J4" s="1"/>
      <c r="K4" s="1">
        <v>15</v>
      </c>
      <c r="L4" s="1">
        <f t="shared" ref="L4:L18" si="1">IFERROR(VLOOKUP(K4,$A$4:$B$19,2,0),"")</f>
        <v>2</v>
      </c>
      <c r="M4" s="1"/>
      <c r="N4" s="1"/>
      <c r="O4" s="1" t="str">
        <f t="shared" ref="O4:O15" si="2">IFERROR(VLOOKUP(N4,$A$4:$B$15,2,0),"")</f>
        <v/>
      </c>
      <c r="P4" s="1"/>
      <c r="Q4" s="1"/>
      <c r="R4" s="1" t="str">
        <f t="shared" ref="R4:R15" si="3">IFERROR(VLOOKUP(Q4,$A$4:$B$15,2,0),"")</f>
        <v/>
      </c>
      <c r="S4" s="1"/>
    </row>
    <row r="5" spans="1:19" ht="17.25" customHeight="1" x14ac:dyDescent="0.25">
      <c r="A5" s="20">
        <v>2</v>
      </c>
      <c r="B5" s="20">
        <v>15</v>
      </c>
      <c r="C5" s="3"/>
      <c r="E5" s="24" t="s">
        <v>50</v>
      </c>
      <c r="F5" s="4">
        <f t="shared" ref="F5:F19" si="4">RANK(G5,$G$4:$G$19,0)</f>
        <v>5</v>
      </c>
      <c r="G5" s="4">
        <f t="shared" ref="G5:G19" si="5">SUM($I5,$L5,$O5,$R5,$J5,$M5,$P5,$S5,)</f>
        <v>23.5</v>
      </c>
      <c r="H5" s="1">
        <v>3</v>
      </c>
      <c r="I5" s="1">
        <f t="shared" si="0"/>
        <v>14</v>
      </c>
      <c r="J5" s="1">
        <v>0.5</v>
      </c>
      <c r="K5" s="1">
        <v>8</v>
      </c>
      <c r="L5" s="1">
        <f t="shared" si="1"/>
        <v>9</v>
      </c>
      <c r="M5" s="1"/>
      <c r="N5" s="1"/>
      <c r="O5" s="1" t="str">
        <f t="shared" si="2"/>
        <v/>
      </c>
      <c r="P5" s="1"/>
      <c r="Q5" s="1"/>
      <c r="R5" s="1" t="str">
        <f t="shared" si="3"/>
        <v/>
      </c>
      <c r="S5" s="1"/>
    </row>
    <row r="6" spans="1:19" ht="17.25" customHeight="1" x14ac:dyDescent="0.25">
      <c r="A6" s="20">
        <v>3</v>
      </c>
      <c r="B6" s="20">
        <v>14</v>
      </c>
      <c r="C6" s="3"/>
      <c r="E6" s="24" t="s">
        <v>48</v>
      </c>
      <c r="F6" s="4">
        <f t="shared" si="4"/>
        <v>13</v>
      </c>
      <c r="G6" s="4">
        <f t="shared" si="5"/>
        <v>8</v>
      </c>
      <c r="H6" s="1">
        <v>15</v>
      </c>
      <c r="I6" s="1">
        <f t="shared" si="0"/>
        <v>2</v>
      </c>
      <c r="J6" s="1"/>
      <c r="K6" s="1">
        <v>11</v>
      </c>
      <c r="L6" s="1">
        <f t="shared" si="1"/>
        <v>6</v>
      </c>
      <c r="M6" s="1"/>
      <c r="N6" s="1"/>
      <c r="O6" s="1" t="str">
        <f t="shared" si="2"/>
        <v/>
      </c>
      <c r="P6" s="1"/>
      <c r="Q6" s="1"/>
      <c r="R6" s="1" t="str">
        <f t="shared" si="3"/>
        <v/>
      </c>
      <c r="S6" s="1"/>
    </row>
    <row r="7" spans="1:19" ht="17.25" customHeight="1" x14ac:dyDescent="0.25">
      <c r="A7" s="20">
        <v>4</v>
      </c>
      <c r="B7" s="20">
        <v>13</v>
      </c>
      <c r="C7" s="3"/>
      <c r="E7" s="23" t="s">
        <v>11</v>
      </c>
      <c r="F7" s="4">
        <f t="shared" si="4"/>
        <v>10</v>
      </c>
      <c r="G7" s="4">
        <f t="shared" si="5"/>
        <v>15</v>
      </c>
      <c r="H7" s="1">
        <v>6</v>
      </c>
      <c r="I7" s="1">
        <f t="shared" si="0"/>
        <v>11</v>
      </c>
      <c r="J7" s="1">
        <v>1</v>
      </c>
      <c r="K7" s="1">
        <v>14</v>
      </c>
      <c r="L7" s="1">
        <f t="shared" si="1"/>
        <v>3</v>
      </c>
      <c r="M7" s="1"/>
      <c r="N7" s="1"/>
      <c r="O7" s="1" t="str">
        <f t="shared" si="2"/>
        <v/>
      </c>
      <c r="P7" s="1"/>
      <c r="Q7" s="1"/>
      <c r="R7" s="1" t="str">
        <f t="shared" si="3"/>
        <v/>
      </c>
      <c r="S7" s="1"/>
    </row>
    <row r="8" spans="1:19" ht="17.25" customHeight="1" x14ac:dyDescent="0.25">
      <c r="A8" s="20">
        <v>5</v>
      </c>
      <c r="B8" s="20">
        <v>12</v>
      </c>
      <c r="C8" s="3"/>
      <c r="E8" s="23" t="s">
        <v>40</v>
      </c>
      <c r="F8" s="4">
        <f t="shared" si="4"/>
        <v>12</v>
      </c>
      <c r="G8" s="4">
        <f t="shared" si="5"/>
        <v>13</v>
      </c>
      <c r="H8" s="1">
        <v>9</v>
      </c>
      <c r="I8" s="1">
        <f t="shared" si="0"/>
        <v>8</v>
      </c>
      <c r="J8" s="1"/>
      <c r="K8" s="1">
        <v>12</v>
      </c>
      <c r="L8" s="1">
        <f t="shared" si="1"/>
        <v>5</v>
      </c>
      <c r="M8" s="1"/>
      <c r="N8" s="1"/>
      <c r="O8" s="1" t="str">
        <f t="shared" si="2"/>
        <v/>
      </c>
      <c r="P8" s="1"/>
      <c r="Q8" s="1"/>
      <c r="R8" s="1" t="str">
        <f t="shared" si="3"/>
        <v/>
      </c>
      <c r="S8" s="1"/>
    </row>
    <row r="9" spans="1:19" ht="17.25" customHeight="1" x14ac:dyDescent="0.25">
      <c r="A9" s="20">
        <v>6</v>
      </c>
      <c r="B9" s="20">
        <v>11</v>
      </c>
      <c r="C9" s="3"/>
      <c r="E9" s="24" t="s">
        <v>45</v>
      </c>
      <c r="F9" s="4">
        <f t="shared" si="4"/>
        <v>9</v>
      </c>
      <c r="G9" s="4">
        <f t="shared" si="5"/>
        <v>18.5</v>
      </c>
      <c r="H9" s="1">
        <v>10.5</v>
      </c>
      <c r="I9" s="1">
        <v>6.5</v>
      </c>
      <c r="J9" s="1"/>
      <c r="K9" s="1">
        <v>5</v>
      </c>
      <c r="L9" s="1">
        <f t="shared" si="1"/>
        <v>12</v>
      </c>
      <c r="M9" s="1"/>
      <c r="N9" s="1"/>
      <c r="O9" s="1" t="str">
        <f t="shared" si="2"/>
        <v/>
      </c>
      <c r="P9" s="1"/>
      <c r="Q9" s="1"/>
      <c r="R9" s="1" t="str">
        <f t="shared" si="3"/>
        <v/>
      </c>
      <c r="S9" s="1"/>
    </row>
    <row r="10" spans="1:19" ht="17.25" customHeight="1" x14ac:dyDescent="0.25">
      <c r="A10" s="20">
        <v>7</v>
      </c>
      <c r="B10" s="20">
        <v>10</v>
      </c>
      <c r="C10" s="3"/>
      <c r="E10" s="23" t="s">
        <v>38</v>
      </c>
      <c r="F10" s="4">
        <f t="shared" si="4"/>
        <v>16</v>
      </c>
      <c r="G10" s="4">
        <f t="shared" si="5"/>
        <v>4</v>
      </c>
      <c r="H10" s="1">
        <v>14</v>
      </c>
      <c r="I10" s="1">
        <f>IFERROR(VLOOKUP(H10,$A$4:$B$19,2,0),"")</f>
        <v>3</v>
      </c>
      <c r="J10" s="1"/>
      <c r="K10" s="1">
        <v>16</v>
      </c>
      <c r="L10" s="1">
        <f t="shared" si="1"/>
        <v>1</v>
      </c>
      <c r="M10" s="1"/>
      <c r="N10" s="1"/>
      <c r="O10" s="1" t="str">
        <f t="shared" si="2"/>
        <v/>
      </c>
      <c r="P10" s="1"/>
      <c r="Q10" s="1"/>
      <c r="R10" s="1" t="str">
        <f t="shared" si="3"/>
        <v/>
      </c>
      <c r="S10" s="1"/>
    </row>
    <row r="11" spans="1:19" ht="17.25" customHeight="1" x14ac:dyDescent="0.25">
      <c r="A11" s="20">
        <v>8</v>
      </c>
      <c r="B11" s="20">
        <v>9</v>
      </c>
      <c r="C11" s="3"/>
      <c r="E11" s="24" t="s">
        <v>54</v>
      </c>
      <c r="F11" s="4">
        <f t="shared" si="4"/>
        <v>3</v>
      </c>
      <c r="G11" s="4">
        <f t="shared" si="5"/>
        <v>25</v>
      </c>
      <c r="H11" s="1">
        <v>2</v>
      </c>
      <c r="I11" s="1">
        <f t="shared" si="0"/>
        <v>15</v>
      </c>
      <c r="J11" s="1">
        <v>2</v>
      </c>
      <c r="K11" s="1">
        <v>9</v>
      </c>
      <c r="L11" s="1">
        <f t="shared" si="1"/>
        <v>8</v>
      </c>
      <c r="M11" s="1"/>
      <c r="N11" s="1"/>
      <c r="O11" s="1" t="str">
        <f t="shared" si="2"/>
        <v/>
      </c>
      <c r="P11" s="1"/>
      <c r="Q11" s="1"/>
      <c r="R11" s="1" t="str">
        <f t="shared" si="3"/>
        <v/>
      </c>
      <c r="S11" s="1"/>
    </row>
    <row r="12" spans="1:19" ht="17.25" customHeight="1" x14ac:dyDescent="0.25">
      <c r="A12" s="20">
        <v>9</v>
      </c>
      <c r="B12" s="20">
        <v>8</v>
      </c>
      <c r="C12" s="3"/>
      <c r="E12" s="24" t="s">
        <v>41</v>
      </c>
      <c r="F12" s="4">
        <f t="shared" si="4"/>
        <v>6</v>
      </c>
      <c r="G12" s="4">
        <f t="shared" si="5"/>
        <v>21</v>
      </c>
      <c r="H12" s="1">
        <v>7</v>
      </c>
      <c r="I12" s="1">
        <f t="shared" si="0"/>
        <v>10</v>
      </c>
      <c r="J12" s="1"/>
      <c r="K12" s="1">
        <v>7</v>
      </c>
      <c r="L12" s="1">
        <f t="shared" si="1"/>
        <v>10</v>
      </c>
      <c r="M12" s="1">
        <v>1</v>
      </c>
      <c r="N12" s="1"/>
      <c r="O12" s="1" t="str">
        <f t="shared" si="2"/>
        <v/>
      </c>
      <c r="P12" s="1"/>
      <c r="Q12" s="1"/>
      <c r="R12" s="1" t="str">
        <f t="shared" si="3"/>
        <v/>
      </c>
      <c r="S12" s="1"/>
    </row>
    <row r="13" spans="1:19" ht="17.25" customHeight="1" x14ac:dyDescent="0.25">
      <c r="A13" s="20">
        <v>10</v>
      </c>
      <c r="B13" s="20">
        <v>7</v>
      </c>
      <c r="C13" s="3"/>
      <c r="E13" s="24" t="s">
        <v>51</v>
      </c>
      <c r="F13" s="4">
        <f t="shared" si="4"/>
        <v>8</v>
      </c>
      <c r="G13" s="4">
        <f t="shared" si="5"/>
        <v>20</v>
      </c>
      <c r="H13" s="1">
        <v>4</v>
      </c>
      <c r="I13" s="1">
        <f t="shared" si="0"/>
        <v>13</v>
      </c>
      <c r="J13" s="1"/>
      <c r="K13" s="1">
        <v>10</v>
      </c>
      <c r="L13" s="1">
        <f t="shared" si="1"/>
        <v>7</v>
      </c>
      <c r="M13" s="1"/>
      <c r="N13" s="1"/>
      <c r="O13" s="1" t="str">
        <f t="shared" si="2"/>
        <v/>
      </c>
      <c r="P13" s="1"/>
      <c r="Q13" s="1"/>
      <c r="R13" s="1" t="str">
        <f t="shared" si="3"/>
        <v/>
      </c>
      <c r="S13" s="1"/>
    </row>
    <row r="14" spans="1:19" ht="17.25" customHeight="1" x14ac:dyDescent="0.25">
      <c r="A14" s="20">
        <v>11</v>
      </c>
      <c r="B14" s="20">
        <v>6</v>
      </c>
      <c r="C14" s="3"/>
      <c r="E14" s="23" t="s">
        <v>49</v>
      </c>
      <c r="F14" s="4">
        <f t="shared" si="4"/>
        <v>3</v>
      </c>
      <c r="G14" s="4">
        <f t="shared" si="5"/>
        <v>25</v>
      </c>
      <c r="H14" s="1">
        <v>8</v>
      </c>
      <c r="I14" s="1">
        <f t="shared" si="0"/>
        <v>9</v>
      </c>
      <c r="J14" s="1"/>
      <c r="K14" s="1">
        <v>4</v>
      </c>
      <c r="L14" s="1">
        <f t="shared" si="1"/>
        <v>13</v>
      </c>
      <c r="M14" s="1">
        <v>3</v>
      </c>
      <c r="N14" s="1"/>
      <c r="O14" s="1" t="str">
        <f t="shared" si="2"/>
        <v/>
      </c>
      <c r="P14" s="1"/>
      <c r="Q14" s="1"/>
      <c r="R14" s="1" t="str">
        <f t="shared" si="3"/>
        <v/>
      </c>
      <c r="S14" s="1"/>
    </row>
    <row r="15" spans="1:19" ht="17.25" customHeight="1" x14ac:dyDescent="0.25">
      <c r="A15" s="20">
        <v>12</v>
      </c>
      <c r="B15" s="20">
        <v>5</v>
      </c>
      <c r="C15" s="3"/>
      <c r="E15" s="23" t="s">
        <v>44</v>
      </c>
      <c r="F15" s="4">
        <f t="shared" si="4"/>
        <v>1</v>
      </c>
      <c r="G15" s="4">
        <f t="shared" si="5"/>
        <v>34.5</v>
      </c>
      <c r="H15" s="1">
        <v>1</v>
      </c>
      <c r="I15" s="1">
        <f t="shared" si="0"/>
        <v>16</v>
      </c>
      <c r="J15" s="1">
        <v>3</v>
      </c>
      <c r="K15" s="1">
        <v>2</v>
      </c>
      <c r="L15" s="1">
        <f t="shared" si="1"/>
        <v>15</v>
      </c>
      <c r="M15" s="1">
        <v>0.5</v>
      </c>
      <c r="N15" s="1"/>
      <c r="O15" s="1" t="str">
        <f t="shared" si="2"/>
        <v/>
      </c>
      <c r="P15" s="1"/>
      <c r="Q15" s="1"/>
      <c r="R15" s="1" t="str">
        <f t="shared" si="3"/>
        <v/>
      </c>
      <c r="S15" s="1"/>
    </row>
    <row r="16" spans="1:19" ht="17.25" customHeight="1" x14ac:dyDescent="0.25">
      <c r="A16" s="20">
        <v>13</v>
      </c>
      <c r="B16" s="20">
        <v>4</v>
      </c>
      <c r="C16" s="3"/>
      <c r="E16" s="24" t="s">
        <v>46</v>
      </c>
      <c r="F16" s="4">
        <f t="shared" si="4"/>
        <v>15</v>
      </c>
      <c r="G16" s="4">
        <f t="shared" si="5"/>
        <v>5</v>
      </c>
      <c r="H16" s="1">
        <v>16</v>
      </c>
      <c r="I16" s="1">
        <f t="shared" si="0"/>
        <v>1</v>
      </c>
      <c r="J16" s="1"/>
      <c r="K16" s="1">
        <v>13</v>
      </c>
      <c r="L16" s="1">
        <f t="shared" si="1"/>
        <v>4</v>
      </c>
      <c r="M16" s="1"/>
      <c r="N16" s="1"/>
      <c r="O16" s="1"/>
      <c r="P16" s="1"/>
      <c r="Q16" s="1"/>
      <c r="R16" s="1"/>
      <c r="S16" s="1"/>
    </row>
    <row r="17" spans="1:19" ht="17.25" customHeight="1" x14ac:dyDescent="0.25">
      <c r="A17" s="20">
        <v>14</v>
      </c>
      <c r="B17" s="20">
        <v>3</v>
      </c>
      <c r="C17" s="3"/>
      <c r="E17" s="23" t="s">
        <v>42</v>
      </c>
      <c r="F17" s="4">
        <f t="shared" si="4"/>
        <v>10</v>
      </c>
      <c r="G17" s="4">
        <f t="shared" si="5"/>
        <v>15</v>
      </c>
      <c r="H17" s="1">
        <v>13</v>
      </c>
      <c r="I17" s="1">
        <f t="shared" si="0"/>
        <v>4</v>
      </c>
      <c r="J17" s="1"/>
      <c r="K17" s="1">
        <v>6</v>
      </c>
      <c r="L17" s="1">
        <f t="shared" si="1"/>
        <v>11</v>
      </c>
      <c r="M17" s="1"/>
      <c r="N17" s="1"/>
      <c r="O17" s="1"/>
      <c r="P17" s="1"/>
      <c r="Q17" s="1"/>
      <c r="R17" s="1"/>
      <c r="S17" s="1"/>
    </row>
    <row r="18" spans="1:19" ht="17.25" customHeight="1" x14ac:dyDescent="0.25">
      <c r="A18" s="20">
        <v>15</v>
      </c>
      <c r="B18" s="20">
        <v>2</v>
      </c>
      <c r="C18" s="3"/>
      <c r="E18" s="24" t="s">
        <v>39</v>
      </c>
      <c r="F18" s="4">
        <f t="shared" si="4"/>
        <v>6</v>
      </c>
      <c r="G18" s="4">
        <f t="shared" si="5"/>
        <v>21</v>
      </c>
      <c r="H18" s="1">
        <v>10.5</v>
      </c>
      <c r="I18" s="1">
        <v>6.5</v>
      </c>
      <c r="J18" s="1"/>
      <c r="K18" s="1">
        <v>3</v>
      </c>
      <c r="L18" s="1">
        <f t="shared" si="1"/>
        <v>14</v>
      </c>
      <c r="M18" s="1">
        <v>0.5</v>
      </c>
      <c r="N18" s="1"/>
      <c r="O18" s="1"/>
      <c r="P18" s="1"/>
      <c r="Q18" s="1"/>
      <c r="R18" s="1"/>
      <c r="S18" s="1"/>
    </row>
    <row r="19" spans="1:19" ht="17.25" customHeight="1" x14ac:dyDescent="0.25">
      <c r="A19" s="20">
        <v>16</v>
      </c>
      <c r="B19" s="20">
        <v>1</v>
      </c>
      <c r="C19" s="3"/>
      <c r="E19" s="23" t="s">
        <v>43</v>
      </c>
      <c r="F19" s="4">
        <f t="shared" si="4"/>
        <v>2</v>
      </c>
      <c r="G19" s="4">
        <f t="shared" si="5"/>
        <v>30.5</v>
      </c>
      <c r="H19" s="1">
        <v>5</v>
      </c>
      <c r="I19" s="1">
        <f t="shared" si="0"/>
        <v>12</v>
      </c>
      <c r="J19" s="1">
        <v>0.5</v>
      </c>
      <c r="K19" s="1">
        <v>1</v>
      </c>
      <c r="L19" s="1">
        <f>IFERROR(VLOOKUP(K19,$A$4:$B$19,2,0),"")</f>
        <v>16</v>
      </c>
      <c r="M19" s="1">
        <v>2</v>
      </c>
      <c r="N19" s="1"/>
      <c r="O19" s="1"/>
      <c r="P19" s="1"/>
      <c r="Q19" s="1"/>
      <c r="R19" s="1"/>
      <c r="S19" s="1"/>
    </row>
    <row r="20" spans="1:19" x14ac:dyDescent="0.25">
      <c r="H20" s="3"/>
      <c r="I20" s="3"/>
      <c r="J20" s="3"/>
    </row>
    <row r="21" spans="1:19" x14ac:dyDescent="0.25">
      <c r="A21" s="17" t="s">
        <v>34</v>
      </c>
      <c r="B21" s="1">
        <v>3</v>
      </c>
      <c r="C21" s="3"/>
    </row>
    <row r="22" spans="1:19" x14ac:dyDescent="0.25">
      <c r="A22" s="16" t="s">
        <v>35</v>
      </c>
      <c r="B22" s="1">
        <v>2</v>
      </c>
      <c r="C22" s="3"/>
    </row>
    <row r="23" spans="1:19" x14ac:dyDescent="0.25">
      <c r="A23" s="17" t="s">
        <v>36</v>
      </c>
      <c r="B23" s="1">
        <v>1</v>
      </c>
      <c r="C23" s="3"/>
    </row>
    <row r="24" spans="1:19" x14ac:dyDescent="0.25">
      <c r="A24" s="16" t="s">
        <v>52</v>
      </c>
      <c r="B24" s="1">
        <v>0.5</v>
      </c>
      <c r="C24" s="3"/>
    </row>
    <row r="25" spans="1:19" x14ac:dyDescent="0.25">
      <c r="A25" s="16" t="s">
        <v>53</v>
      </c>
      <c r="B25" s="1">
        <v>0.5</v>
      </c>
    </row>
  </sheetData>
  <mergeCells count="3">
    <mergeCell ref="E2:E3"/>
    <mergeCell ref="F2:F3"/>
    <mergeCell ref="G2:G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860A-F0EA-4217-84F7-251913BD81BD}">
  <dimension ref="A1:F33"/>
  <sheetViews>
    <sheetView workbookViewId="0">
      <selection activeCell="C19" sqref="C19"/>
    </sheetView>
  </sheetViews>
  <sheetFormatPr defaultRowHeight="14.4" x14ac:dyDescent="0.25"/>
  <cols>
    <col min="1" max="1" width="15.6640625" customWidth="1"/>
    <col min="2" max="2" width="16.6640625" customWidth="1"/>
    <col min="3" max="6" width="15.6640625" customWidth="1"/>
  </cols>
  <sheetData>
    <row r="1" spans="1:6" ht="16.2" x14ac:dyDescent="0.25">
      <c r="A1" s="3"/>
      <c r="B1" s="18" t="s">
        <v>106</v>
      </c>
      <c r="C1" s="18" t="s">
        <v>0</v>
      </c>
      <c r="D1" s="18" t="s">
        <v>1</v>
      </c>
      <c r="E1" s="18" t="s">
        <v>2</v>
      </c>
      <c r="F1" s="18" t="s">
        <v>3</v>
      </c>
    </row>
    <row r="2" spans="1:6" ht="16.2" x14ac:dyDescent="0.25">
      <c r="A2" s="3"/>
      <c r="B2" s="21">
        <v>1</v>
      </c>
      <c r="C2" s="21" t="s">
        <v>56</v>
      </c>
      <c r="D2" s="21" t="s">
        <v>63</v>
      </c>
      <c r="E2" s="21" t="s">
        <v>68</v>
      </c>
      <c r="F2" s="21" t="s">
        <v>66</v>
      </c>
    </row>
    <row r="3" spans="1:6" ht="16.2" x14ac:dyDescent="0.25">
      <c r="A3" s="3"/>
      <c r="B3" s="21">
        <v>2</v>
      </c>
      <c r="C3" s="21" t="s">
        <v>57</v>
      </c>
      <c r="D3" s="21" t="s">
        <v>61</v>
      </c>
      <c r="E3" s="21" t="s">
        <v>64</v>
      </c>
      <c r="F3" s="22" t="s">
        <v>57</v>
      </c>
    </row>
    <row r="4" spans="1:6" ht="16.2" x14ac:dyDescent="0.25">
      <c r="A4" s="3"/>
      <c r="B4" s="21">
        <v>3</v>
      </c>
      <c r="C4" s="21" t="s">
        <v>58</v>
      </c>
      <c r="D4" s="21" t="s">
        <v>70</v>
      </c>
      <c r="E4" s="21" t="s">
        <v>12</v>
      </c>
      <c r="F4" s="21" t="s">
        <v>68</v>
      </c>
    </row>
    <row r="5" spans="1:6" ht="16.2" x14ac:dyDescent="0.25">
      <c r="A5" s="3"/>
      <c r="B5" s="21">
        <v>4</v>
      </c>
      <c r="C5" s="21" t="s">
        <v>59</v>
      </c>
      <c r="D5" s="21" t="s">
        <v>60</v>
      </c>
      <c r="E5" s="21" t="s">
        <v>69</v>
      </c>
      <c r="F5" s="22" t="s">
        <v>59</v>
      </c>
    </row>
    <row r="6" spans="1:6" ht="16.2" x14ac:dyDescent="0.25">
      <c r="A6" s="3"/>
      <c r="B6" s="21">
        <v>5</v>
      </c>
      <c r="C6" s="21" t="s">
        <v>60</v>
      </c>
      <c r="D6" s="21" t="s">
        <v>62</v>
      </c>
      <c r="E6" s="21" t="s">
        <v>67</v>
      </c>
      <c r="F6" s="22" t="s">
        <v>65</v>
      </c>
    </row>
    <row r="7" spans="1:6" ht="16.2" x14ac:dyDescent="0.25">
      <c r="A7" s="3"/>
      <c r="B7" s="21">
        <v>6</v>
      </c>
      <c r="C7" s="21" t="s">
        <v>61</v>
      </c>
      <c r="D7" s="21" t="s">
        <v>59</v>
      </c>
      <c r="E7" s="21" t="s">
        <v>65</v>
      </c>
      <c r="F7" s="21" t="s">
        <v>60</v>
      </c>
    </row>
    <row r="8" spans="1:6" ht="16.2" x14ac:dyDescent="0.25">
      <c r="A8" s="3"/>
      <c r="B8" s="21">
        <v>7</v>
      </c>
      <c r="C8" s="21" t="s">
        <v>62</v>
      </c>
      <c r="D8" s="21" t="s">
        <v>65</v>
      </c>
      <c r="E8" s="21" t="s">
        <v>62</v>
      </c>
      <c r="F8" s="22" t="s">
        <v>70</v>
      </c>
    </row>
    <row r="9" spans="1:6" ht="16.2" x14ac:dyDescent="0.25">
      <c r="A9" s="3"/>
      <c r="B9" s="21">
        <v>8</v>
      </c>
      <c r="C9" s="21" t="s">
        <v>63</v>
      </c>
      <c r="D9" s="21" t="s">
        <v>67</v>
      </c>
      <c r="E9" s="21" t="s">
        <v>63</v>
      </c>
      <c r="F9" s="21" t="s">
        <v>67</v>
      </c>
    </row>
    <row r="10" spans="1:6" ht="16.2" x14ac:dyDescent="0.25">
      <c r="A10" s="3"/>
      <c r="B10" s="21">
        <v>9</v>
      </c>
      <c r="C10" s="21" t="s">
        <v>64</v>
      </c>
      <c r="D10" s="21" t="s">
        <v>68</v>
      </c>
      <c r="E10" s="21" t="s">
        <v>70</v>
      </c>
      <c r="F10" s="21" t="s">
        <v>58</v>
      </c>
    </row>
    <row r="11" spans="1:6" ht="16.2" x14ac:dyDescent="0.25">
      <c r="A11" s="3"/>
      <c r="B11" s="21">
        <v>10</v>
      </c>
      <c r="C11" s="21" t="s">
        <v>65</v>
      </c>
      <c r="D11" s="21" t="s">
        <v>12</v>
      </c>
      <c r="E11" s="21" t="s">
        <v>60</v>
      </c>
      <c r="F11" s="22" t="s">
        <v>56</v>
      </c>
    </row>
    <row r="12" spans="1:6" ht="16.2" x14ac:dyDescent="0.25">
      <c r="A12" s="3"/>
      <c r="B12" s="21">
        <v>11</v>
      </c>
      <c r="C12" s="21" t="s">
        <v>66</v>
      </c>
      <c r="D12" s="21" t="s">
        <v>56</v>
      </c>
      <c r="E12" s="21" t="s">
        <v>59</v>
      </c>
      <c r="F12" s="22" t="s">
        <v>63</v>
      </c>
    </row>
    <row r="13" spans="1:6" ht="16.2" x14ac:dyDescent="0.25">
      <c r="A13" s="3"/>
      <c r="B13" s="21">
        <v>12</v>
      </c>
      <c r="C13" s="21" t="s">
        <v>67</v>
      </c>
      <c r="D13" s="21" t="s">
        <v>58</v>
      </c>
      <c r="E13" s="21" t="s">
        <v>61</v>
      </c>
      <c r="F13" s="21" t="s">
        <v>62</v>
      </c>
    </row>
    <row r="14" spans="1:6" ht="16.2" x14ac:dyDescent="0.25">
      <c r="A14" s="3"/>
      <c r="B14" s="21">
        <v>13</v>
      </c>
      <c r="C14" s="21" t="s">
        <v>68</v>
      </c>
      <c r="D14" s="21" t="s">
        <v>69</v>
      </c>
      <c r="E14" s="21" t="s">
        <v>57</v>
      </c>
      <c r="F14" s="21" t="s">
        <v>12</v>
      </c>
    </row>
    <row r="15" spans="1:6" ht="16.2" x14ac:dyDescent="0.25">
      <c r="A15" s="3"/>
      <c r="B15" s="21">
        <v>14</v>
      </c>
      <c r="C15" s="21" t="s">
        <v>12</v>
      </c>
      <c r="D15" s="21" t="s">
        <v>57</v>
      </c>
      <c r="E15" s="21" t="s">
        <v>56</v>
      </c>
      <c r="F15" s="22" t="s">
        <v>61</v>
      </c>
    </row>
    <row r="16" spans="1:6" ht="16.2" x14ac:dyDescent="0.25">
      <c r="A16" s="3"/>
      <c r="B16" s="21">
        <v>15</v>
      </c>
      <c r="C16" s="21" t="s">
        <v>69</v>
      </c>
      <c r="D16" s="21" t="s">
        <v>66</v>
      </c>
      <c r="E16" s="21" t="s">
        <v>58</v>
      </c>
      <c r="F16" s="22" t="s">
        <v>69</v>
      </c>
    </row>
    <row r="17" spans="1:6" ht="16.2" x14ac:dyDescent="0.25">
      <c r="A17" s="3"/>
      <c r="B17" s="21">
        <v>16</v>
      </c>
      <c r="C17" s="21" t="s">
        <v>70</v>
      </c>
      <c r="D17" s="21" t="s">
        <v>64</v>
      </c>
      <c r="E17" s="21" t="s">
        <v>66</v>
      </c>
      <c r="F17" s="21" t="s">
        <v>64</v>
      </c>
    </row>
    <row r="18" spans="1:6" x14ac:dyDescent="0.25">
      <c r="A18" s="3"/>
      <c r="B18" s="3"/>
    </row>
    <row r="19" spans="1:6" x14ac:dyDescent="0.25">
      <c r="A19" s="3"/>
      <c r="B19" s="3"/>
      <c r="C19" s="3"/>
    </row>
    <row r="20" spans="1:6" x14ac:dyDescent="0.25">
      <c r="A20" s="3"/>
      <c r="B20" s="3"/>
      <c r="C20" s="3"/>
    </row>
    <row r="21" spans="1:6" x14ac:dyDescent="0.25">
      <c r="A21" s="3"/>
      <c r="B21" s="3"/>
      <c r="C21" s="3"/>
    </row>
    <row r="22" spans="1:6" x14ac:dyDescent="0.25">
      <c r="A22" s="3"/>
      <c r="B22" s="3"/>
      <c r="C22" s="3"/>
    </row>
    <row r="23" spans="1:6" x14ac:dyDescent="0.25">
      <c r="A23" s="3"/>
      <c r="B23" s="3"/>
      <c r="C23" s="3"/>
    </row>
    <row r="24" spans="1:6" x14ac:dyDescent="0.25">
      <c r="A24" s="3"/>
      <c r="B24" s="3"/>
      <c r="C24" s="3"/>
    </row>
    <row r="25" spans="1:6" x14ac:dyDescent="0.25">
      <c r="A25" s="3"/>
      <c r="B25" s="3"/>
      <c r="C25" s="3"/>
    </row>
    <row r="26" spans="1:6" x14ac:dyDescent="0.25">
      <c r="A26" s="3"/>
      <c r="B26" s="3"/>
      <c r="C26" s="3"/>
    </row>
    <row r="27" spans="1:6" x14ac:dyDescent="0.25">
      <c r="A27" s="3"/>
      <c r="B27" s="3"/>
      <c r="C27" s="3"/>
    </row>
    <row r="28" spans="1:6" x14ac:dyDescent="0.25">
      <c r="A28" s="3"/>
      <c r="B28" s="3"/>
      <c r="C28" s="3"/>
    </row>
    <row r="29" spans="1:6" x14ac:dyDescent="0.25">
      <c r="A29" s="3"/>
      <c r="B29" s="3"/>
      <c r="C29" s="3"/>
    </row>
    <row r="30" spans="1:6" x14ac:dyDescent="0.25">
      <c r="A30" s="3"/>
      <c r="B30" s="3"/>
      <c r="C30" s="3"/>
    </row>
    <row r="31" spans="1:6" x14ac:dyDescent="0.25">
      <c r="A31" s="3"/>
      <c r="B31" s="3"/>
      <c r="C31" s="3"/>
    </row>
    <row r="32" spans="1:6" x14ac:dyDescent="0.25">
      <c r="A32" s="3"/>
      <c r="B32" s="3"/>
      <c r="C32" s="3"/>
    </row>
    <row r="33" spans="1:3" x14ac:dyDescent="0.25">
      <c r="A33" s="3"/>
      <c r="B33" s="3"/>
      <c r="C33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92DA-2D1F-4D5F-929B-163F37510F6A}">
  <dimension ref="A1:B3"/>
  <sheetViews>
    <sheetView workbookViewId="0">
      <selection activeCell="F18" sqref="F18"/>
    </sheetView>
  </sheetViews>
  <sheetFormatPr defaultRowHeight="14.4" x14ac:dyDescent="0.25"/>
  <cols>
    <col min="1" max="1" width="15" customWidth="1"/>
  </cols>
  <sheetData>
    <row r="1" spans="1:2" x14ac:dyDescent="0.25">
      <c r="A1" s="43" t="s">
        <v>135</v>
      </c>
      <c r="B1" t="s">
        <v>133</v>
      </c>
    </row>
    <row r="2" spans="1:2" x14ac:dyDescent="0.25">
      <c r="A2" s="43" t="s">
        <v>136</v>
      </c>
      <c r="B2" t="s">
        <v>134</v>
      </c>
    </row>
    <row r="3" spans="1:2" x14ac:dyDescent="0.25">
      <c r="A3" s="43" t="s">
        <v>138</v>
      </c>
      <c r="B3" t="s">
        <v>137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16C7-D006-4B0B-B29E-5426901E5537}">
  <dimension ref="B1:F17"/>
  <sheetViews>
    <sheetView workbookViewId="0">
      <selection activeCell="C21" sqref="C21"/>
    </sheetView>
  </sheetViews>
  <sheetFormatPr defaultRowHeight="14.4" x14ac:dyDescent="0.25"/>
  <cols>
    <col min="3" max="3" width="31.109375" customWidth="1"/>
    <col min="4" max="4" width="39.44140625" customWidth="1"/>
  </cols>
  <sheetData>
    <row r="1" spans="2:6" ht="16.2" x14ac:dyDescent="0.25">
      <c r="B1" s="38" t="s">
        <v>108</v>
      </c>
      <c r="C1" s="38" t="s">
        <v>107</v>
      </c>
      <c r="D1" s="38" t="s">
        <v>109</v>
      </c>
      <c r="E1" s="21"/>
      <c r="F1" s="21"/>
    </row>
    <row r="2" spans="2:6" ht="16.2" x14ac:dyDescent="0.25">
      <c r="B2" s="21">
        <v>1</v>
      </c>
      <c r="C2" s="21" t="s">
        <v>147</v>
      </c>
      <c r="D2" s="21" t="s">
        <v>66</v>
      </c>
      <c r="E2" s="21"/>
      <c r="F2" s="21"/>
    </row>
    <row r="3" spans="2:6" ht="16.2" x14ac:dyDescent="0.25">
      <c r="B3" s="21">
        <v>2</v>
      </c>
      <c r="C3" s="21" t="s">
        <v>148</v>
      </c>
      <c r="D3" s="21" t="s">
        <v>87</v>
      </c>
      <c r="E3" s="21"/>
      <c r="F3" s="21"/>
    </row>
    <row r="4" spans="2:6" ht="16.2" x14ac:dyDescent="0.25">
      <c r="B4" s="21">
        <v>3</v>
      </c>
      <c r="C4" s="21" t="s">
        <v>149</v>
      </c>
      <c r="D4" s="21" t="s">
        <v>77</v>
      </c>
      <c r="E4" s="21"/>
      <c r="F4" s="21"/>
    </row>
    <row r="5" spans="2:6" ht="16.2" x14ac:dyDescent="0.25">
      <c r="B5" s="21">
        <v>4</v>
      </c>
      <c r="C5" s="21" t="s">
        <v>150</v>
      </c>
      <c r="D5" s="21" t="s">
        <v>139</v>
      </c>
      <c r="E5" s="21"/>
      <c r="F5" s="21"/>
    </row>
    <row r="6" spans="2:6" ht="16.2" x14ac:dyDescent="0.25">
      <c r="B6" s="21">
        <v>5</v>
      </c>
      <c r="C6" s="21" t="s">
        <v>151</v>
      </c>
      <c r="D6" s="21" t="s">
        <v>140</v>
      </c>
      <c r="E6" s="21"/>
      <c r="F6" s="21"/>
    </row>
    <row r="7" spans="2:6" ht="16.2" x14ac:dyDescent="0.25">
      <c r="B7" s="21">
        <v>6</v>
      </c>
      <c r="C7" s="21" t="s">
        <v>152</v>
      </c>
      <c r="D7" s="21" t="s">
        <v>84</v>
      </c>
      <c r="E7" s="21"/>
      <c r="F7" s="21"/>
    </row>
    <row r="8" spans="2:6" ht="16.2" x14ac:dyDescent="0.25">
      <c r="B8" s="21">
        <v>7</v>
      </c>
      <c r="C8" s="21" t="s">
        <v>153</v>
      </c>
      <c r="D8" s="21" t="s">
        <v>83</v>
      </c>
      <c r="E8" s="21"/>
      <c r="F8" s="21"/>
    </row>
    <row r="9" spans="2:6" ht="16.2" x14ac:dyDescent="0.25">
      <c r="B9" s="21">
        <v>8</v>
      </c>
      <c r="C9" s="21" t="s">
        <v>154</v>
      </c>
      <c r="D9" s="21" t="s">
        <v>67</v>
      </c>
      <c r="E9" s="21"/>
      <c r="F9" s="21"/>
    </row>
    <row r="10" spans="2:6" ht="16.2" x14ac:dyDescent="0.25">
      <c r="B10" s="21">
        <v>9</v>
      </c>
      <c r="C10" s="21" t="s">
        <v>155</v>
      </c>
      <c r="D10" s="21" t="s">
        <v>141</v>
      </c>
      <c r="E10" s="21"/>
      <c r="F10" s="21"/>
    </row>
    <row r="11" spans="2:6" ht="16.2" x14ac:dyDescent="0.25">
      <c r="B11" s="21">
        <v>10</v>
      </c>
      <c r="C11" s="21" t="s">
        <v>156</v>
      </c>
      <c r="D11" s="21" t="s">
        <v>142</v>
      </c>
      <c r="E11" s="21"/>
      <c r="F11" s="21"/>
    </row>
    <row r="12" spans="2:6" ht="16.2" x14ac:dyDescent="0.25">
      <c r="B12" s="21">
        <v>11</v>
      </c>
      <c r="C12" s="21" t="s">
        <v>157</v>
      </c>
      <c r="D12" s="21" t="s">
        <v>82</v>
      </c>
      <c r="E12" s="21"/>
      <c r="F12" s="21"/>
    </row>
    <row r="13" spans="2:6" ht="16.2" x14ac:dyDescent="0.25">
      <c r="B13" s="21">
        <v>12</v>
      </c>
      <c r="C13" s="21" t="s">
        <v>158</v>
      </c>
      <c r="D13" s="21" t="s">
        <v>62</v>
      </c>
      <c r="E13" s="21"/>
      <c r="F13" s="21"/>
    </row>
    <row r="14" spans="2:6" ht="16.2" x14ac:dyDescent="0.25">
      <c r="B14" s="21">
        <v>13</v>
      </c>
      <c r="C14" s="21" t="s">
        <v>159</v>
      </c>
      <c r="D14" s="21" t="s">
        <v>143</v>
      </c>
      <c r="E14" s="21"/>
      <c r="F14" s="21"/>
    </row>
    <row r="15" spans="2:6" ht="16.2" x14ac:dyDescent="0.25">
      <c r="B15" s="21">
        <v>14</v>
      </c>
      <c r="C15" s="21" t="s">
        <v>160</v>
      </c>
      <c r="D15" s="21" t="s">
        <v>144</v>
      </c>
      <c r="E15" s="21"/>
      <c r="F15" s="21"/>
    </row>
    <row r="16" spans="2:6" ht="16.2" x14ac:dyDescent="0.25">
      <c r="B16" s="21">
        <v>15</v>
      </c>
      <c r="C16" s="21" t="s">
        <v>161</v>
      </c>
      <c r="D16" s="21" t="s">
        <v>145</v>
      </c>
      <c r="E16" s="21"/>
      <c r="F16" s="21"/>
    </row>
    <row r="17" spans="2:6" ht="16.2" x14ac:dyDescent="0.25">
      <c r="B17" s="21">
        <v>16</v>
      </c>
      <c r="C17" s="21" t="s">
        <v>162</v>
      </c>
      <c r="D17" s="21" t="s">
        <v>146</v>
      </c>
      <c r="E17" s="21"/>
      <c r="F17" s="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A3D1-9AD7-4757-92F0-149D74D0A182}">
  <dimension ref="B1:F17"/>
  <sheetViews>
    <sheetView workbookViewId="0">
      <selection activeCell="D22" sqref="D22"/>
    </sheetView>
  </sheetViews>
  <sheetFormatPr defaultRowHeight="14.4" x14ac:dyDescent="0.25"/>
  <cols>
    <col min="3" max="3" width="31.109375" customWidth="1"/>
    <col min="4" max="4" width="39.44140625" customWidth="1"/>
  </cols>
  <sheetData>
    <row r="1" spans="2:6" ht="16.2" x14ac:dyDescent="0.25">
      <c r="B1" s="38" t="s">
        <v>108</v>
      </c>
      <c r="C1" s="38" t="s">
        <v>107</v>
      </c>
      <c r="D1" s="38" t="s">
        <v>109</v>
      </c>
      <c r="E1" s="21"/>
      <c r="F1" s="21"/>
    </row>
    <row r="2" spans="2:6" ht="16.2" x14ac:dyDescent="0.25">
      <c r="B2" s="21">
        <v>1</v>
      </c>
      <c r="C2" s="21" t="s">
        <v>117</v>
      </c>
      <c r="D2" s="21" t="s">
        <v>82</v>
      </c>
      <c r="E2" s="21"/>
      <c r="F2" s="21"/>
    </row>
    <row r="3" spans="2:6" ht="16.2" x14ac:dyDescent="0.25">
      <c r="B3" s="21">
        <v>2</v>
      </c>
      <c r="C3" s="21" t="s">
        <v>118</v>
      </c>
      <c r="D3" s="21" t="s">
        <v>110</v>
      </c>
      <c r="E3" s="21"/>
      <c r="F3" s="21"/>
    </row>
    <row r="4" spans="2:6" ht="16.2" x14ac:dyDescent="0.25">
      <c r="B4" s="21">
        <v>3</v>
      </c>
      <c r="C4" s="21" t="s">
        <v>119</v>
      </c>
      <c r="D4" s="21" t="s">
        <v>83</v>
      </c>
      <c r="E4" s="21"/>
      <c r="F4" s="21"/>
    </row>
    <row r="5" spans="2:6" ht="16.2" x14ac:dyDescent="0.25">
      <c r="B5" s="21">
        <v>4</v>
      </c>
      <c r="C5" s="21" t="s">
        <v>120</v>
      </c>
      <c r="D5" s="21" t="s">
        <v>84</v>
      </c>
      <c r="E5" s="21"/>
      <c r="F5" s="21"/>
    </row>
    <row r="6" spans="2:6" ht="16.2" x14ac:dyDescent="0.25">
      <c r="B6" s="21">
        <v>5</v>
      </c>
      <c r="C6" s="21" t="s">
        <v>121</v>
      </c>
      <c r="D6" s="21" t="s">
        <v>62</v>
      </c>
      <c r="E6" s="21"/>
      <c r="F6" s="21"/>
    </row>
    <row r="7" spans="2:6" ht="16.2" x14ac:dyDescent="0.25">
      <c r="B7" s="21">
        <v>6</v>
      </c>
      <c r="C7" s="21" t="s">
        <v>122</v>
      </c>
      <c r="D7" s="21" t="s">
        <v>111</v>
      </c>
      <c r="E7" s="21"/>
      <c r="F7" s="21"/>
    </row>
    <row r="8" spans="2:6" ht="16.2" x14ac:dyDescent="0.25">
      <c r="B8" s="21">
        <v>7</v>
      </c>
      <c r="C8" s="21" t="s">
        <v>123</v>
      </c>
      <c r="D8" s="21" t="s">
        <v>112</v>
      </c>
      <c r="E8" s="21"/>
      <c r="F8" s="21"/>
    </row>
    <row r="9" spans="2:6" ht="16.2" x14ac:dyDescent="0.25">
      <c r="B9" s="21">
        <v>8</v>
      </c>
      <c r="C9" s="21" t="s">
        <v>124</v>
      </c>
      <c r="D9" s="21" t="s">
        <v>67</v>
      </c>
      <c r="E9" s="21"/>
      <c r="F9" s="21"/>
    </row>
    <row r="10" spans="2:6" ht="16.2" x14ac:dyDescent="0.25">
      <c r="B10" s="21">
        <v>9</v>
      </c>
      <c r="C10" s="21" t="s">
        <v>125</v>
      </c>
      <c r="D10" s="21" t="s">
        <v>77</v>
      </c>
      <c r="E10" s="21"/>
      <c r="F10" s="21"/>
    </row>
    <row r="11" spans="2:6" ht="16.2" x14ac:dyDescent="0.25">
      <c r="B11" s="21">
        <v>10</v>
      </c>
      <c r="C11" s="21" t="s">
        <v>126</v>
      </c>
      <c r="D11" s="21" t="s">
        <v>113</v>
      </c>
      <c r="E11" s="21"/>
      <c r="F11" s="21"/>
    </row>
    <row r="12" spans="2:6" ht="16.2" x14ac:dyDescent="0.25">
      <c r="B12" s="21">
        <v>11</v>
      </c>
      <c r="C12" s="21" t="s">
        <v>127</v>
      </c>
      <c r="D12" s="21" t="s">
        <v>114</v>
      </c>
      <c r="E12" s="21"/>
      <c r="F12" s="21"/>
    </row>
    <row r="13" spans="2:6" ht="16.2" x14ac:dyDescent="0.25">
      <c r="B13" s="21">
        <v>12</v>
      </c>
      <c r="C13" s="21" t="s">
        <v>128</v>
      </c>
      <c r="D13" s="21" t="s">
        <v>115</v>
      </c>
      <c r="E13" s="21"/>
      <c r="F13" s="21"/>
    </row>
    <row r="14" spans="2:6" ht="16.2" x14ac:dyDescent="0.25">
      <c r="B14" s="21">
        <v>13</v>
      </c>
      <c r="C14" s="21" t="s">
        <v>129</v>
      </c>
      <c r="D14" s="21" t="s">
        <v>116</v>
      </c>
      <c r="E14" s="21"/>
      <c r="F14" s="21"/>
    </row>
    <row r="15" spans="2:6" ht="16.2" x14ac:dyDescent="0.25">
      <c r="B15" s="21">
        <v>14</v>
      </c>
      <c r="C15" s="21" t="s">
        <v>130</v>
      </c>
      <c r="D15" s="21" t="s">
        <v>87</v>
      </c>
      <c r="E15" s="21"/>
      <c r="F15" s="21"/>
    </row>
    <row r="16" spans="2:6" ht="16.2" x14ac:dyDescent="0.25">
      <c r="B16" s="21">
        <v>15</v>
      </c>
      <c r="C16" s="21" t="s">
        <v>131</v>
      </c>
      <c r="D16" s="21" t="s">
        <v>66</v>
      </c>
      <c r="E16" s="21"/>
      <c r="F16" s="21"/>
    </row>
    <row r="17" spans="2:6" ht="16.2" x14ac:dyDescent="0.25">
      <c r="B17" s="21">
        <v>16</v>
      </c>
      <c r="C17" s="21" t="s">
        <v>132</v>
      </c>
      <c r="D17" s="21" t="s">
        <v>78</v>
      </c>
      <c r="E17" s="21"/>
      <c r="F17" s="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4CC8-88E4-4206-89B7-E83AEA6486A1}">
  <dimension ref="B1:F17"/>
  <sheetViews>
    <sheetView workbookViewId="0">
      <selection activeCell="D18" sqref="D18"/>
    </sheetView>
  </sheetViews>
  <sheetFormatPr defaultRowHeight="14.4" x14ac:dyDescent="0.25"/>
  <cols>
    <col min="3" max="3" width="32.44140625" customWidth="1"/>
    <col min="4" max="4" width="39.44140625" customWidth="1"/>
  </cols>
  <sheetData>
    <row r="1" spans="2:6" ht="16.2" x14ac:dyDescent="0.25">
      <c r="B1" s="38" t="s">
        <v>108</v>
      </c>
      <c r="C1" s="38" t="s">
        <v>107</v>
      </c>
      <c r="D1" s="38" t="s">
        <v>109</v>
      </c>
      <c r="E1" s="21"/>
      <c r="F1" s="21"/>
    </row>
    <row r="2" spans="2:6" ht="16.2" x14ac:dyDescent="0.25">
      <c r="B2" s="21">
        <v>1</v>
      </c>
      <c r="C2" s="21" t="s">
        <v>89</v>
      </c>
      <c r="D2" s="21" t="s">
        <v>77</v>
      </c>
      <c r="E2" s="21"/>
      <c r="F2" s="21"/>
    </row>
    <row r="3" spans="2:6" ht="16.2" x14ac:dyDescent="0.25">
      <c r="B3" s="21">
        <v>2</v>
      </c>
      <c r="C3" s="21" t="s">
        <v>90</v>
      </c>
      <c r="D3" s="21" t="s">
        <v>78</v>
      </c>
      <c r="E3" s="21"/>
      <c r="F3" s="21"/>
    </row>
    <row r="4" spans="2:6" ht="16.2" x14ac:dyDescent="0.25">
      <c r="B4" s="21">
        <v>3</v>
      </c>
      <c r="C4" s="21" t="s">
        <v>91</v>
      </c>
      <c r="D4" s="21" t="s">
        <v>79</v>
      </c>
      <c r="E4" s="21"/>
      <c r="F4" s="21"/>
    </row>
    <row r="5" spans="2:6" ht="16.2" x14ac:dyDescent="0.25">
      <c r="B5" s="21">
        <v>4</v>
      </c>
      <c r="C5" s="21" t="s">
        <v>92</v>
      </c>
      <c r="D5" s="21" t="s">
        <v>80</v>
      </c>
      <c r="E5" s="21"/>
      <c r="F5" s="21"/>
    </row>
    <row r="6" spans="2:6" ht="16.2" x14ac:dyDescent="0.25">
      <c r="B6" s="21">
        <v>5</v>
      </c>
      <c r="C6" s="21" t="s">
        <v>93</v>
      </c>
      <c r="D6" s="21" t="s">
        <v>67</v>
      </c>
      <c r="E6" s="21"/>
      <c r="F6" s="21"/>
    </row>
    <row r="7" spans="2:6" ht="16.2" x14ac:dyDescent="0.25">
      <c r="B7" s="21">
        <v>6</v>
      </c>
      <c r="C7" s="21" t="s">
        <v>94</v>
      </c>
      <c r="D7" s="21" t="s">
        <v>81</v>
      </c>
      <c r="E7" s="21"/>
      <c r="F7" s="21"/>
    </row>
    <row r="8" spans="2:6" ht="16.2" x14ac:dyDescent="0.25">
      <c r="B8" s="21">
        <v>7</v>
      </c>
      <c r="C8" s="21" t="s">
        <v>95</v>
      </c>
      <c r="D8" s="21" t="s">
        <v>62</v>
      </c>
      <c r="E8" s="21"/>
      <c r="F8" s="21"/>
    </row>
    <row r="9" spans="2:6" ht="16.2" x14ac:dyDescent="0.25">
      <c r="B9" s="21">
        <v>8</v>
      </c>
      <c r="C9" s="21" t="s">
        <v>96</v>
      </c>
      <c r="D9" s="21" t="s">
        <v>82</v>
      </c>
      <c r="E9" s="21"/>
      <c r="F9" s="21"/>
    </row>
    <row r="10" spans="2:6" ht="16.2" x14ac:dyDescent="0.25">
      <c r="B10" s="21">
        <v>9</v>
      </c>
      <c r="C10" s="21" t="s">
        <v>97</v>
      </c>
      <c r="D10" s="21" t="s">
        <v>83</v>
      </c>
      <c r="E10" s="21"/>
      <c r="F10" s="21"/>
    </row>
    <row r="11" spans="2:6" ht="16.2" x14ac:dyDescent="0.25">
      <c r="B11" s="21">
        <v>10</v>
      </c>
      <c r="C11" s="21" t="s">
        <v>98</v>
      </c>
      <c r="D11" s="21" t="s">
        <v>84</v>
      </c>
      <c r="E11" s="21"/>
      <c r="F11" s="21"/>
    </row>
    <row r="12" spans="2:6" ht="16.2" x14ac:dyDescent="0.25">
      <c r="B12" s="21">
        <v>11</v>
      </c>
      <c r="C12" s="21" t="s">
        <v>99</v>
      </c>
      <c r="D12" s="21" t="s">
        <v>85</v>
      </c>
      <c r="E12" s="21"/>
      <c r="F12" s="21"/>
    </row>
    <row r="13" spans="2:6" ht="16.2" x14ac:dyDescent="0.25">
      <c r="B13" s="21">
        <v>12</v>
      </c>
      <c r="C13" s="21" t="s">
        <v>100</v>
      </c>
      <c r="D13" s="21" t="s">
        <v>86</v>
      </c>
      <c r="E13" s="21"/>
      <c r="F13" s="21"/>
    </row>
    <row r="14" spans="2:6" ht="16.2" x14ac:dyDescent="0.25">
      <c r="B14" s="21">
        <v>13</v>
      </c>
      <c r="C14" s="21" t="s">
        <v>101</v>
      </c>
      <c r="D14" s="21" t="s">
        <v>105</v>
      </c>
      <c r="E14" s="21"/>
      <c r="F14" s="21"/>
    </row>
    <row r="15" spans="2:6" ht="16.2" x14ac:dyDescent="0.25">
      <c r="B15" s="21">
        <v>14</v>
      </c>
      <c r="C15" s="21" t="s">
        <v>102</v>
      </c>
      <c r="D15" s="21" t="s">
        <v>56</v>
      </c>
      <c r="E15" s="21"/>
      <c r="F15" s="21"/>
    </row>
    <row r="16" spans="2:6" ht="16.2" x14ac:dyDescent="0.25">
      <c r="B16" s="21">
        <v>15</v>
      </c>
      <c r="C16" s="21" t="s">
        <v>103</v>
      </c>
      <c r="D16" s="21" t="s">
        <v>88</v>
      </c>
      <c r="E16" s="21"/>
      <c r="F16" s="21"/>
    </row>
    <row r="17" spans="2:6" ht="16.2" x14ac:dyDescent="0.25">
      <c r="B17" s="21">
        <v>16</v>
      </c>
      <c r="C17" s="21" t="s">
        <v>104</v>
      </c>
      <c r="D17" s="21" t="s">
        <v>66</v>
      </c>
      <c r="E17" s="21"/>
      <c r="F17" s="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CBD4-5B07-4224-996E-5E0149DDD138}">
  <dimension ref="C1:T6"/>
  <sheetViews>
    <sheetView workbookViewId="0">
      <selection activeCell="H20" sqref="H20"/>
    </sheetView>
  </sheetViews>
  <sheetFormatPr defaultRowHeight="14.4" x14ac:dyDescent="0.25"/>
  <sheetData>
    <row r="1" spans="3:20" x14ac:dyDescent="0.25"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13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</row>
    <row r="2" spans="3:20" x14ac:dyDescent="0.25">
      <c r="C2" s="5"/>
      <c r="D2" s="5"/>
      <c r="E2" s="5"/>
      <c r="F2" s="5"/>
      <c r="G2" s="5"/>
      <c r="J2" s="7" t="s">
        <v>9</v>
      </c>
      <c r="K2" s="8"/>
      <c r="L2" s="8"/>
      <c r="M2" s="8"/>
      <c r="N2" s="8"/>
      <c r="O2" s="8"/>
      <c r="P2" s="8"/>
      <c r="Q2" s="8"/>
      <c r="R2" s="8"/>
      <c r="S2" s="8"/>
    </row>
    <row r="3" spans="3:20" x14ac:dyDescent="0.25">
      <c r="C3" s="42"/>
      <c r="D3" s="42"/>
      <c r="E3" s="42"/>
      <c r="F3" s="42"/>
      <c r="L3" s="9" t="s">
        <v>8</v>
      </c>
      <c r="M3" s="9"/>
      <c r="N3" s="9"/>
      <c r="O3" s="9"/>
      <c r="P3" s="9"/>
      <c r="Q3" s="9"/>
      <c r="R3" s="9"/>
    </row>
    <row r="4" spans="3:20" x14ac:dyDescent="0.25">
      <c r="C4" s="10"/>
      <c r="D4" s="11"/>
      <c r="E4" s="11"/>
      <c r="F4" s="10"/>
      <c r="L4" s="10" t="s">
        <v>7</v>
      </c>
      <c r="M4" s="11"/>
      <c r="N4" s="11"/>
      <c r="O4" s="11"/>
      <c r="P4" s="11"/>
      <c r="Q4" s="11"/>
      <c r="R4" s="11"/>
    </row>
    <row r="5" spans="3:20" x14ac:dyDescent="0.25">
      <c r="C5" s="6"/>
      <c r="K5" s="12" t="s">
        <v>6</v>
      </c>
      <c r="L5" s="13"/>
      <c r="M5" s="13"/>
      <c r="N5" s="13"/>
      <c r="O5" s="13"/>
    </row>
    <row r="6" spans="3:20" x14ac:dyDescent="0.25">
      <c r="F6" s="14" t="s">
        <v>5</v>
      </c>
      <c r="G6" s="15"/>
      <c r="H6" s="15"/>
      <c r="I6" s="15"/>
      <c r="J6" s="15"/>
      <c r="K6" s="15"/>
    </row>
  </sheetData>
  <mergeCells count="1">
    <mergeCell ref="C3:F3"/>
  </mergeCells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个人赛花名册</vt:lpstr>
      <vt:lpstr>个人赛赛各盟链接</vt:lpstr>
      <vt:lpstr>个人赛计分 </vt:lpstr>
      <vt:lpstr>选秀顺位</vt:lpstr>
      <vt:lpstr>各盟选秀结果链接</vt:lpstr>
      <vt:lpstr>NFL项选秀首轮</vt:lpstr>
      <vt:lpstr>NHL项选秀首轮</vt:lpstr>
      <vt:lpstr>NBA项选秀首轮</vt:lpstr>
      <vt:lpstr>赛程提醒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ZiYuan Tang</cp:lastModifiedBy>
  <dcterms:created xsi:type="dcterms:W3CDTF">2019-12-29T11:45:33Z</dcterms:created>
  <dcterms:modified xsi:type="dcterms:W3CDTF">2026-01-11T03:34:38Z</dcterms:modified>
</cp:coreProperties>
</file>